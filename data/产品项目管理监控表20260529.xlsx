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678BAB9-F1E9-43D8-992D-DDCED15E6CE7}" xr6:coauthVersionLast="47" xr6:coauthVersionMax="47" xr10:uidLastSave="{00000000-0000-0000-0000-000000000000}"/>
  <bookViews>
    <workbookView xWindow="-110" yWindow="-110" windowWidth="22620" windowHeight="13500" tabRatio="339" activeTab="1" xr2:uid="{00000000-000D-0000-FFFF-FFFF00000000}"/>
  </bookViews>
  <sheets>
    <sheet name="Sheet1" sheetId="1" r:id="rId1"/>
    <sheet name="中试细化（不考核研发）" sheetId="2" r:id="rId2"/>
  </sheets>
  <definedNames>
    <definedName name="_xlnm._FilterDatabase" localSheetId="0" hidden="1">Sheet1!$A$1:$AP$107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2" l="1"/>
  <c r="K38" i="2"/>
  <c r="H38" i="2"/>
  <c r="C38" i="2"/>
  <c r="V37" i="2"/>
  <c r="K37" i="2"/>
  <c r="H37" i="2"/>
  <c r="C37" i="2"/>
  <c r="V36" i="2"/>
  <c r="K36" i="2"/>
  <c r="H36" i="2"/>
  <c r="C36" i="2"/>
  <c r="V35" i="2"/>
  <c r="K35" i="2"/>
  <c r="H35" i="2"/>
  <c r="C35" i="2"/>
  <c r="V34" i="2"/>
  <c r="K34" i="2"/>
  <c r="H34" i="2"/>
  <c r="C34" i="2"/>
  <c r="V33" i="2"/>
  <c r="K33" i="2"/>
  <c r="H33" i="2"/>
  <c r="C33" i="2"/>
  <c r="V32" i="2"/>
  <c r="K32" i="2"/>
  <c r="H32" i="2"/>
  <c r="C32" i="2"/>
  <c r="V31" i="2"/>
  <c r="K31" i="2"/>
  <c r="H31" i="2"/>
  <c r="C31" i="2"/>
  <c r="V30" i="2"/>
  <c r="K30" i="2"/>
  <c r="H30" i="2"/>
  <c r="C30" i="2"/>
  <c r="V29" i="2"/>
  <c r="K29" i="2"/>
  <c r="H29" i="2"/>
  <c r="C29" i="2"/>
  <c r="V28" i="2"/>
  <c r="K28" i="2"/>
  <c r="H28" i="2"/>
  <c r="C28" i="2"/>
  <c r="V27" i="2"/>
  <c r="K27" i="2"/>
  <c r="H27" i="2"/>
  <c r="C27" i="2"/>
  <c r="V26" i="2"/>
  <c r="K26" i="2"/>
  <c r="H26" i="2"/>
  <c r="C26" i="2"/>
  <c r="V25" i="2"/>
  <c r="K25" i="2"/>
  <c r="H25" i="2"/>
  <c r="C25" i="2"/>
  <c r="V24" i="2"/>
  <c r="K24" i="2"/>
  <c r="H24" i="2"/>
  <c r="C24" i="2"/>
  <c r="V23" i="2"/>
  <c r="K23" i="2"/>
  <c r="H23" i="2"/>
  <c r="C23" i="2"/>
  <c r="V22" i="2"/>
  <c r="K22" i="2"/>
  <c r="H22" i="2"/>
  <c r="C22" i="2"/>
  <c r="V21" i="2"/>
  <c r="K21" i="2"/>
  <c r="H21" i="2"/>
  <c r="C21" i="2"/>
  <c r="V20" i="2"/>
  <c r="K20" i="2"/>
  <c r="H20" i="2"/>
  <c r="C20" i="2"/>
  <c r="V19" i="2"/>
  <c r="K19" i="2"/>
  <c r="H19" i="2"/>
  <c r="C19" i="2"/>
  <c r="V18" i="2"/>
  <c r="K18" i="2"/>
  <c r="H18" i="2"/>
  <c r="C18" i="2"/>
  <c r="V17" i="2"/>
  <c r="K17" i="2"/>
  <c r="H17" i="2"/>
  <c r="C17" i="2"/>
  <c r="V16" i="2"/>
  <c r="K16" i="2"/>
  <c r="H16" i="2"/>
  <c r="C16" i="2"/>
  <c r="V15" i="2"/>
  <c r="K15" i="2"/>
  <c r="H15" i="2"/>
  <c r="C15" i="2"/>
  <c r="V14" i="2"/>
  <c r="K14" i="2"/>
  <c r="H14" i="2"/>
  <c r="C14" i="2"/>
  <c r="V13" i="2"/>
  <c r="K13" i="2"/>
  <c r="H13" i="2"/>
  <c r="C13" i="2"/>
  <c r="V12" i="2"/>
  <c r="K12" i="2"/>
  <c r="H12" i="2"/>
  <c r="C12" i="2"/>
  <c r="V11" i="2"/>
  <c r="K11" i="2"/>
  <c r="H11" i="2"/>
  <c r="C11" i="2"/>
  <c r="V10" i="2"/>
  <c r="K10" i="2"/>
  <c r="H10" i="2"/>
  <c r="C10" i="2"/>
  <c r="V9" i="2"/>
  <c r="K9" i="2"/>
  <c r="H9" i="2"/>
  <c r="C9" i="2"/>
  <c r="V8" i="2"/>
  <c r="K8" i="2"/>
  <c r="H8" i="2"/>
  <c r="C8" i="2"/>
  <c r="V7" i="2"/>
  <c r="K7" i="2"/>
  <c r="H7" i="2"/>
  <c r="C7" i="2"/>
  <c r="V6" i="2"/>
  <c r="K6" i="2"/>
  <c r="H6" i="2"/>
  <c r="C6" i="2"/>
  <c r="V5" i="2"/>
  <c r="K5" i="2"/>
  <c r="H5" i="2"/>
  <c r="C5" i="2"/>
  <c r="V4" i="2"/>
  <c r="K4" i="2"/>
  <c r="H4" i="2"/>
  <c r="C4" i="2"/>
  <c r="V3" i="2"/>
  <c r="K3" i="2"/>
  <c r="H3" i="2"/>
  <c r="C3" i="2"/>
  <c r="K2" i="2"/>
  <c r="H2" i="2"/>
  <c r="C2" i="2"/>
  <c r="AN92" i="1"/>
  <c r="AF92" i="1" a="1"/>
  <c r="AF92" i="1"/>
  <c r="AE92" i="1"/>
  <c r="AD92" i="1" a="1"/>
  <c r="AD92" i="1"/>
  <c r="AC92" i="1" a="1"/>
  <c r="AC92" i="1"/>
  <c r="AB92" i="1" a="1"/>
  <c r="AB92" i="1"/>
  <c r="AM92" i="1" s="1"/>
  <c r="AA92" i="1" a="1"/>
  <c r="AA92" i="1"/>
  <c r="Z92" i="1" a="1"/>
  <c r="Z92" i="1"/>
  <c r="Y92" i="1" a="1"/>
  <c r="Y92" i="1"/>
  <c r="AN91" i="1"/>
  <c r="AF91" i="1" a="1"/>
  <c r="AF91" i="1"/>
  <c r="AE91" i="1"/>
  <c r="AD91" i="1" a="1"/>
  <c r="AD91" i="1"/>
  <c r="AC91" i="1" a="1"/>
  <c r="AC91" i="1"/>
  <c r="AB91" i="1" a="1"/>
  <c r="AB91" i="1"/>
  <c r="AM91" i="1" s="1"/>
  <c r="AA91" i="1" a="1"/>
  <c r="AA91" i="1"/>
  <c r="Z91" i="1" a="1"/>
  <c r="Z91" i="1"/>
  <c r="Y91" i="1" a="1"/>
  <c r="Y91" i="1"/>
  <c r="AN90" i="1"/>
  <c r="AF90" i="1" a="1"/>
  <c r="AF90" i="1"/>
  <c r="AE90" i="1"/>
  <c r="AD90" i="1" a="1"/>
  <c r="AD90" i="1"/>
  <c r="AC90" i="1" a="1"/>
  <c r="AC90" i="1"/>
  <c r="AB90" i="1" a="1"/>
  <c r="AB90" i="1"/>
  <c r="AM90" i="1" s="1"/>
  <c r="AA90" i="1" a="1"/>
  <c r="AA90" i="1"/>
  <c r="Z90" i="1" a="1"/>
  <c r="Z90" i="1"/>
  <c r="Y90" i="1" a="1"/>
  <c r="Y90" i="1"/>
  <c r="AN89" i="1"/>
  <c r="AF89" i="1" a="1"/>
  <c r="AF89" i="1"/>
  <c r="AE89" i="1"/>
  <c r="AD89" i="1" a="1"/>
  <c r="AD89" i="1"/>
  <c r="AC89" i="1" a="1"/>
  <c r="AC89" i="1"/>
  <c r="AB89" i="1" a="1"/>
  <c r="AB89" i="1"/>
  <c r="AA89" i="1" a="1"/>
  <c r="AA89" i="1"/>
  <c r="AM89" i="1" s="1"/>
  <c r="Z89" i="1" a="1"/>
  <c r="Z89" i="1"/>
  <c r="Y89" i="1" a="1"/>
  <c r="Y89" i="1"/>
  <c r="AN88" i="1"/>
  <c r="AF88" i="1" a="1"/>
  <c r="AF88" i="1"/>
  <c r="AE88" i="1"/>
  <c r="AD88" i="1" a="1"/>
  <c r="AD88" i="1"/>
  <c r="AC88" i="1" a="1"/>
  <c r="AC88" i="1"/>
  <c r="AB88" i="1" a="1"/>
  <c r="AB88" i="1"/>
  <c r="AM88" i="1" s="1"/>
  <c r="AA88" i="1" a="1"/>
  <c r="AA88" i="1"/>
  <c r="Z88" i="1" a="1"/>
  <c r="Z88" i="1"/>
  <c r="Y88" i="1" a="1"/>
  <c r="Y88" i="1"/>
  <c r="AN87" i="1"/>
  <c r="AF87" i="1" a="1"/>
  <c r="AF87" i="1"/>
  <c r="AE87" i="1"/>
  <c r="AD87" i="1" a="1"/>
  <c r="AD87" i="1"/>
  <c r="AC87" i="1" a="1"/>
  <c r="AC87" i="1"/>
  <c r="AB87" i="1" a="1"/>
  <c r="AB87" i="1"/>
  <c r="AM87" i="1" s="1"/>
  <c r="AA87" i="1" a="1"/>
  <c r="AA87" i="1"/>
  <c r="Z87" i="1" a="1"/>
  <c r="Z87" i="1"/>
  <c r="Y87" i="1" a="1"/>
  <c r="Y87" i="1"/>
  <c r="AN86" i="1"/>
  <c r="AF86" i="1" a="1"/>
  <c r="AF86" i="1"/>
  <c r="AE86" i="1"/>
  <c r="AD86" i="1" a="1"/>
  <c r="AD86" i="1"/>
  <c r="AC86" i="1" a="1"/>
  <c r="AC86" i="1"/>
  <c r="AB86" i="1" a="1"/>
  <c r="AB86" i="1"/>
  <c r="AM86" i="1" s="1"/>
  <c r="AA86" i="1" a="1"/>
  <c r="AA86" i="1"/>
  <c r="Z86" i="1" a="1"/>
  <c r="Z86" i="1"/>
  <c r="Y86" i="1" a="1"/>
  <c r="Y86" i="1"/>
  <c r="AN85" i="1"/>
  <c r="AF85" i="1" a="1"/>
  <c r="AF85" i="1"/>
  <c r="AE85" i="1"/>
  <c r="AD85" i="1" a="1"/>
  <c r="AD85" i="1"/>
  <c r="AC85" i="1" a="1"/>
  <c r="AC85" i="1"/>
  <c r="AB85" i="1" a="1"/>
  <c r="AB85" i="1"/>
  <c r="AM85" i="1" s="1"/>
  <c r="AA85" i="1" a="1"/>
  <c r="AA85" i="1"/>
  <c r="Z85" i="1" a="1"/>
  <c r="Z85" i="1"/>
  <c r="Y85" i="1" a="1"/>
  <c r="Y85" i="1"/>
  <c r="AN84" i="1"/>
  <c r="AF84" i="1" a="1"/>
  <c r="AF84" i="1"/>
  <c r="AE84" i="1"/>
  <c r="AD84" i="1" a="1"/>
  <c r="AD84" i="1"/>
  <c r="AC84" i="1" a="1"/>
  <c r="AC84" i="1"/>
  <c r="AB84" i="1" a="1"/>
  <c r="AB84" i="1"/>
  <c r="AM84" i="1" s="1"/>
  <c r="AA84" i="1" a="1"/>
  <c r="AA84" i="1"/>
  <c r="Z84" i="1" a="1"/>
  <c r="Z84" i="1"/>
  <c r="Y84" i="1" a="1"/>
  <c r="Y84" i="1"/>
  <c r="O84" i="1"/>
  <c r="N84" i="1"/>
  <c r="AN83" i="1"/>
  <c r="AF83" i="1" a="1"/>
  <c r="AF83" i="1"/>
  <c r="AE83" i="1"/>
  <c r="AD83" i="1" a="1"/>
  <c r="AD83" i="1"/>
  <c r="AC83" i="1" a="1"/>
  <c r="AC83" i="1"/>
  <c r="AB83" i="1" a="1"/>
  <c r="AB83" i="1"/>
  <c r="AM83" i="1" s="1"/>
  <c r="AA83" i="1" a="1"/>
  <c r="AA83" i="1"/>
  <c r="Z83" i="1" a="1"/>
  <c r="Z83" i="1"/>
  <c r="Y83" i="1" a="1"/>
  <c r="Y83" i="1"/>
  <c r="O83" i="1"/>
  <c r="N83" i="1"/>
  <c r="M83" i="1"/>
  <c r="L83" i="1"/>
  <c r="AN82" i="1"/>
  <c r="AF82" i="1" a="1"/>
  <c r="AF82" i="1"/>
  <c r="AE82" i="1"/>
  <c r="AD82" i="1" a="1"/>
  <c r="AD82" i="1"/>
  <c r="AC82" i="1" a="1"/>
  <c r="AC82" i="1"/>
  <c r="AB82" i="1" a="1"/>
  <c r="AB82" i="1"/>
  <c r="AA82" i="1" a="1"/>
  <c r="AA82" i="1"/>
  <c r="Z82" i="1" a="1"/>
  <c r="Z82" i="1"/>
  <c r="Y82" i="1" a="1"/>
  <c r="Y82" i="1"/>
  <c r="AM82" i="1" s="1"/>
  <c r="AN81" i="1"/>
  <c r="AF81" i="1" a="1"/>
  <c r="AF81" i="1"/>
  <c r="AE81" i="1"/>
  <c r="AD81" i="1" a="1"/>
  <c r="AD81" i="1"/>
  <c r="AC81" i="1" a="1"/>
  <c r="AC81" i="1"/>
  <c r="AB81" i="1" a="1"/>
  <c r="AB81" i="1"/>
  <c r="AM81" i="1" s="1"/>
  <c r="AA81" i="1" a="1"/>
  <c r="AA81" i="1"/>
  <c r="Z81" i="1" a="1"/>
  <c r="Z81" i="1"/>
  <c r="Y81" i="1" a="1"/>
  <c r="Y81" i="1"/>
  <c r="O81" i="1"/>
  <c r="N81" i="1"/>
  <c r="M81" i="1"/>
  <c r="AN80" i="1"/>
  <c r="AF80" i="1" a="1"/>
  <c r="AF80" i="1"/>
  <c r="AE80" i="1"/>
  <c r="AD80" i="1" a="1"/>
  <c r="AD80" i="1"/>
  <c r="AC80" i="1" a="1"/>
  <c r="AC80" i="1"/>
  <c r="AB80" i="1" a="1"/>
  <c r="AB80" i="1"/>
  <c r="AM80" i="1" s="1"/>
  <c r="AA80" i="1" a="1"/>
  <c r="AA80" i="1"/>
  <c r="Z80" i="1" a="1"/>
  <c r="Z80" i="1"/>
  <c r="Y80" i="1" a="1"/>
  <c r="Y80" i="1"/>
  <c r="AN79" i="1"/>
  <c r="AF79" i="1" a="1"/>
  <c r="AF79" i="1"/>
  <c r="AE79" i="1"/>
  <c r="AD79" i="1" a="1"/>
  <c r="AD79" i="1"/>
  <c r="AC79" i="1" a="1"/>
  <c r="AC79" i="1"/>
  <c r="AB79" i="1" a="1"/>
  <c r="AB79" i="1"/>
  <c r="AM79" i="1" s="1"/>
  <c r="AA79" i="1" a="1"/>
  <c r="AA79" i="1"/>
  <c r="Z79" i="1" a="1"/>
  <c r="Z79" i="1"/>
  <c r="Y79" i="1" a="1"/>
  <c r="Y79" i="1"/>
  <c r="O79" i="1"/>
  <c r="N79" i="1"/>
  <c r="M79" i="1"/>
  <c r="L79" i="1"/>
  <c r="K79" i="1"/>
  <c r="AN78" i="1"/>
  <c r="AF78" i="1" a="1"/>
  <c r="AF78" i="1"/>
  <c r="AE78" i="1"/>
  <c r="AD78" i="1" a="1"/>
  <c r="AD78" i="1"/>
  <c r="AC78" i="1" a="1"/>
  <c r="AC78" i="1"/>
  <c r="AB78" i="1" a="1"/>
  <c r="AB78" i="1"/>
  <c r="AM78" i="1" s="1"/>
  <c r="AA78" i="1" a="1"/>
  <c r="AA78" i="1"/>
  <c r="Z78" i="1" a="1"/>
  <c r="Z78" i="1"/>
  <c r="Y78" i="1" a="1"/>
  <c r="Y78" i="1"/>
  <c r="O78" i="1"/>
  <c r="N78" i="1"/>
  <c r="M78" i="1"/>
  <c r="L78" i="1"/>
  <c r="K78" i="1"/>
  <c r="AN77" i="1"/>
  <c r="AF77" i="1" a="1"/>
  <c r="AF77" i="1"/>
  <c r="AE77" i="1"/>
  <c r="AD77" i="1" a="1"/>
  <c r="AD77" i="1"/>
  <c r="AC77" i="1" a="1"/>
  <c r="AC77" i="1"/>
  <c r="AB77" i="1" a="1"/>
  <c r="AB77" i="1"/>
  <c r="AA77" i="1" a="1"/>
  <c r="AA77" i="1"/>
  <c r="Z77" i="1" a="1"/>
  <c r="Z77" i="1"/>
  <c r="AM77" i="1" s="1"/>
  <c r="Y77" i="1" a="1"/>
  <c r="Y77" i="1"/>
  <c r="O77" i="1"/>
  <c r="N77" i="1"/>
  <c r="M77" i="1"/>
  <c r="L77" i="1"/>
  <c r="K77" i="1"/>
  <c r="AN76" i="1"/>
  <c r="AF76" i="1" a="1"/>
  <c r="AF76" i="1"/>
  <c r="AE76" i="1"/>
  <c r="AD76" i="1" a="1"/>
  <c r="AD76" i="1"/>
  <c r="AC76" i="1" a="1"/>
  <c r="AC76" i="1"/>
  <c r="AB76" i="1" a="1"/>
  <c r="AB76" i="1"/>
  <c r="AM76" i="1" s="1"/>
  <c r="AA76" i="1" a="1"/>
  <c r="AA76" i="1"/>
  <c r="Z76" i="1" a="1"/>
  <c r="Z76" i="1"/>
  <c r="Y76" i="1" a="1"/>
  <c r="Y76" i="1"/>
  <c r="O76" i="1"/>
  <c r="N76" i="1"/>
  <c r="M76" i="1"/>
  <c r="L76" i="1"/>
  <c r="AN75" i="1"/>
  <c r="AF75" i="1" a="1"/>
  <c r="AF75" i="1"/>
  <c r="AE75" i="1"/>
  <c r="AD75" i="1" a="1"/>
  <c r="AD75" i="1"/>
  <c r="AC75" i="1" a="1"/>
  <c r="AC75" i="1"/>
  <c r="AB75" i="1" a="1"/>
  <c r="AB75" i="1"/>
  <c r="AM75" i="1" s="1"/>
  <c r="AA75" i="1" a="1"/>
  <c r="AA75" i="1"/>
  <c r="Z75" i="1" a="1"/>
  <c r="Z75" i="1"/>
  <c r="Y75" i="1" a="1"/>
  <c r="Y75" i="1"/>
  <c r="O75" i="1"/>
  <c r="N75" i="1"/>
  <c r="M75" i="1"/>
  <c r="L75" i="1"/>
  <c r="K75" i="1"/>
  <c r="AN74" i="1"/>
  <c r="AF74" i="1" a="1"/>
  <c r="AF74" i="1"/>
  <c r="AE74" i="1"/>
  <c r="AD74" i="1" a="1"/>
  <c r="AD74" i="1"/>
  <c r="AC74" i="1" a="1"/>
  <c r="AC74" i="1"/>
  <c r="AB74" i="1" a="1"/>
  <c r="AB74" i="1"/>
  <c r="AA74" i="1" a="1"/>
  <c r="AA74" i="1"/>
  <c r="Z74" i="1" a="1"/>
  <c r="Z74" i="1"/>
  <c r="AM74" i="1" s="1"/>
  <c r="Y74" i="1" a="1"/>
  <c r="Y74" i="1"/>
  <c r="O74" i="1"/>
  <c r="N74" i="1"/>
  <c r="M74" i="1"/>
  <c r="L74" i="1"/>
  <c r="K74" i="1"/>
  <c r="AN73" i="1"/>
  <c r="AF73" i="1" a="1"/>
  <c r="AF73" i="1"/>
  <c r="AE73" i="1"/>
  <c r="AD73" i="1" a="1"/>
  <c r="AD73" i="1"/>
  <c r="AC73" i="1" a="1"/>
  <c r="AC73" i="1"/>
  <c r="AB73" i="1" a="1"/>
  <c r="AB73" i="1"/>
  <c r="AM73" i="1" s="1"/>
  <c r="AA73" i="1" a="1"/>
  <c r="AA73" i="1"/>
  <c r="Z73" i="1" a="1"/>
  <c r="Z73" i="1"/>
  <c r="Y73" i="1" a="1"/>
  <c r="Y73" i="1"/>
  <c r="O73" i="1"/>
  <c r="N73" i="1"/>
  <c r="M73" i="1"/>
  <c r="L73" i="1"/>
  <c r="K73" i="1"/>
  <c r="AN72" i="1"/>
  <c r="AM72" i="1"/>
  <c r="AF72" i="1" a="1"/>
  <c r="AF72" i="1"/>
  <c r="AE72" i="1"/>
  <c r="AD72" i="1" a="1"/>
  <c r="AD72" i="1"/>
  <c r="AC72" i="1" a="1"/>
  <c r="AC72" i="1"/>
  <c r="AB72" i="1" a="1"/>
  <c r="AB72" i="1"/>
  <c r="AA72" i="1" a="1"/>
  <c r="AA72" i="1"/>
  <c r="Z72" i="1" a="1"/>
  <c r="Z72" i="1"/>
  <c r="Y72" i="1" a="1"/>
  <c r="Y72" i="1"/>
  <c r="O72" i="1"/>
  <c r="N72" i="1"/>
  <c r="M72" i="1"/>
  <c r="L72" i="1"/>
  <c r="K72" i="1"/>
  <c r="AN71" i="1"/>
  <c r="AF71" i="1" a="1"/>
  <c r="AF71" i="1"/>
  <c r="AE71" i="1"/>
  <c r="AD71" i="1" a="1"/>
  <c r="AD71" i="1"/>
  <c r="AC71" i="1" a="1"/>
  <c r="AC71" i="1"/>
  <c r="AB71" i="1" a="1"/>
  <c r="AB71" i="1"/>
  <c r="AM71" i="1" s="1"/>
  <c r="AA71" i="1" a="1"/>
  <c r="AA71" i="1"/>
  <c r="Z71" i="1" a="1"/>
  <c r="Z71" i="1"/>
  <c r="Y71" i="1" a="1"/>
  <c r="Y71" i="1"/>
  <c r="AN70" i="1"/>
  <c r="AF70" i="1" a="1"/>
  <c r="AF70" i="1"/>
  <c r="AE70" i="1"/>
  <c r="AD70" i="1" a="1"/>
  <c r="AD70" i="1"/>
  <c r="AC70" i="1" a="1"/>
  <c r="AC70" i="1"/>
  <c r="AB70" i="1" a="1"/>
  <c r="AB70" i="1"/>
  <c r="AM70" i="1" s="1"/>
  <c r="AA70" i="1" a="1"/>
  <c r="AA70" i="1"/>
  <c r="Z70" i="1" a="1"/>
  <c r="Z70" i="1"/>
  <c r="Y70" i="1" a="1"/>
  <c r="Y70" i="1"/>
  <c r="O70" i="1"/>
  <c r="N70" i="1"/>
  <c r="M70" i="1"/>
  <c r="L70" i="1"/>
  <c r="K70" i="1"/>
  <c r="AN69" i="1"/>
  <c r="AF69" i="1" a="1"/>
  <c r="AF69" i="1"/>
  <c r="AE69" i="1"/>
  <c r="AD69" i="1" a="1"/>
  <c r="AD69" i="1"/>
  <c r="AC69" i="1" a="1"/>
  <c r="AC69" i="1"/>
  <c r="AB69" i="1" a="1"/>
  <c r="AB69" i="1"/>
  <c r="AM69" i="1" s="1"/>
  <c r="AA69" i="1" a="1"/>
  <c r="AA69" i="1"/>
  <c r="Z69" i="1" a="1"/>
  <c r="Z69" i="1"/>
  <c r="Y69" i="1" a="1"/>
  <c r="Y69" i="1"/>
  <c r="O69" i="1"/>
  <c r="N69" i="1"/>
  <c r="M69" i="1"/>
  <c r="K69" i="1"/>
  <c r="AN68" i="1"/>
  <c r="AF68" i="1" a="1"/>
  <c r="AF68" i="1"/>
  <c r="AE68" i="1"/>
  <c r="AD68" i="1" a="1"/>
  <c r="AD68" i="1"/>
  <c r="AM68" i="1" s="1"/>
  <c r="AC68" i="1" a="1"/>
  <c r="AC68" i="1"/>
  <c r="AB68" i="1" a="1"/>
  <c r="AB68" i="1"/>
  <c r="AA68" i="1" a="1"/>
  <c r="AA68" i="1"/>
  <c r="Z68" i="1" a="1"/>
  <c r="Z68" i="1"/>
  <c r="Y68" i="1" a="1"/>
  <c r="Y68" i="1"/>
  <c r="O68" i="1"/>
  <c r="N68" i="1"/>
  <c r="M68" i="1"/>
  <c r="AN67" i="1"/>
  <c r="AF67" i="1" a="1"/>
  <c r="AF67" i="1"/>
  <c r="AE67" i="1"/>
  <c r="AD67" i="1" a="1"/>
  <c r="AD67" i="1"/>
  <c r="AC67" i="1" a="1"/>
  <c r="AC67" i="1"/>
  <c r="AB67" i="1" a="1"/>
  <c r="AB67" i="1"/>
  <c r="AM67" i="1" s="1"/>
  <c r="AA67" i="1" a="1"/>
  <c r="AA67" i="1"/>
  <c r="Z67" i="1" a="1"/>
  <c r="Z67" i="1"/>
  <c r="Y67" i="1" a="1"/>
  <c r="Y67" i="1"/>
  <c r="O67" i="1"/>
  <c r="N67" i="1"/>
  <c r="M67" i="1"/>
  <c r="AN66" i="1"/>
  <c r="AF66" i="1" a="1"/>
  <c r="AF66" i="1"/>
  <c r="AE66" i="1"/>
  <c r="AD66" i="1" a="1"/>
  <c r="AD66" i="1"/>
  <c r="AC66" i="1" a="1"/>
  <c r="AC66" i="1"/>
  <c r="AB66" i="1" a="1"/>
  <c r="AB66" i="1"/>
  <c r="AM66" i="1" s="1"/>
  <c r="AA66" i="1" a="1"/>
  <c r="AA66" i="1"/>
  <c r="Z66" i="1" a="1"/>
  <c r="Z66" i="1"/>
  <c r="Y66" i="1" a="1"/>
  <c r="Y66" i="1"/>
  <c r="AN65" i="1"/>
  <c r="AF65" i="1" a="1"/>
  <c r="AF65" i="1"/>
  <c r="AE65" i="1"/>
  <c r="AD65" i="1" a="1"/>
  <c r="AD65" i="1"/>
  <c r="AC65" i="1" a="1"/>
  <c r="AC65" i="1"/>
  <c r="AB65" i="1" a="1"/>
  <c r="AB65" i="1"/>
  <c r="AM65" i="1" s="1"/>
  <c r="AA65" i="1" a="1"/>
  <c r="AA65" i="1"/>
  <c r="Z65" i="1" a="1"/>
  <c r="Z65" i="1"/>
  <c r="Y65" i="1" a="1"/>
  <c r="Y65" i="1"/>
  <c r="AN64" i="1"/>
  <c r="AF64" i="1" a="1"/>
  <c r="AF64" i="1"/>
  <c r="AE64" i="1"/>
  <c r="AD64" i="1" a="1"/>
  <c r="AD64" i="1"/>
  <c r="AC64" i="1" a="1"/>
  <c r="AC64" i="1"/>
  <c r="AB64" i="1" a="1"/>
  <c r="AB64" i="1"/>
  <c r="AM64" i="1" s="1"/>
  <c r="AA64" i="1" a="1"/>
  <c r="AA64" i="1"/>
  <c r="Z64" i="1" a="1"/>
  <c r="Z64" i="1"/>
  <c r="Y64" i="1" a="1"/>
  <c r="Y64" i="1"/>
  <c r="AN63" i="1"/>
  <c r="AF63" i="1" a="1"/>
  <c r="AF63" i="1"/>
  <c r="AE63" i="1"/>
  <c r="AD63" i="1" a="1"/>
  <c r="AD63" i="1"/>
  <c r="AC63" i="1" a="1"/>
  <c r="AC63" i="1"/>
  <c r="AB63" i="1" a="1"/>
  <c r="AB63" i="1"/>
  <c r="AM63" i="1" s="1"/>
  <c r="AA63" i="1" a="1"/>
  <c r="AA63" i="1"/>
  <c r="Z63" i="1" a="1"/>
  <c r="Z63" i="1"/>
  <c r="Y63" i="1" a="1"/>
  <c r="Y63" i="1"/>
  <c r="O63" i="1"/>
  <c r="N63" i="1"/>
  <c r="M63" i="1"/>
  <c r="L63" i="1"/>
  <c r="K63" i="1"/>
  <c r="AN62" i="1"/>
  <c r="AF62" i="1" a="1"/>
  <c r="AF62" i="1"/>
  <c r="AE62" i="1"/>
  <c r="AD62" i="1" a="1"/>
  <c r="AD62" i="1"/>
  <c r="AC62" i="1" a="1"/>
  <c r="AC62" i="1"/>
  <c r="AB62" i="1" a="1"/>
  <c r="AB62" i="1"/>
  <c r="AA62" i="1" a="1"/>
  <c r="AA62" i="1"/>
  <c r="Z62" i="1" a="1"/>
  <c r="Z62" i="1"/>
  <c r="AM62" i="1" s="1"/>
  <c r="Y62" i="1" a="1"/>
  <c r="Y62" i="1"/>
  <c r="O62" i="1"/>
  <c r="N62" i="1"/>
  <c r="M62" i="1"/>
  <c r="L62" i="1"/>
  <c r="AN61" i="1"/>
  <c r="AF61" i="1" a="1"/>
  <c r="AF61" i="1"/>
  <c r="AE61" i="1"/>
  <c r="AD61" i="1" a="1"/>
  <c r="AD61" i="1"/>
  <c r="AC61" i="1" a="1"/>
  <c r="AC61" i="1"/>
  <c r="AB61" i="1" a="1"/>
  <c r="AB61" i="1"/>
  <c r="AM61" i="1" s="1"/>
  <c r="AA61" i="1" a="1"/>
  <c r="AA61" i="1"/>
  <c r="Z61" i="1" a="1"/>
  <c r="Z61" i="1"/>
  <c r="Y61" i="1" a="1"/>
  <c r="Y61" i="1"/>
  <c r="O61" i="1"/>
  <c r="AN60" i="1"/>
  <c r="AF60" i="1" a="1"/>
  <c r="AF60" i="1"/>
  <c r="AE60" i="1"/>
  <c r="AD60" i="1" a="1"/>
  <c r="AD60" i="1"/>
  <c r="AC60" i="1" a="1"/>
  <c r="AC60" i="1"/>
  <c r="AB60" i="1" a="1"/>
  <c r="AB60" i="1"/>
  <c r="AM60" i="1" s="1"/>
  <c r="AA60" i="1" a="1"/>
  <c r="AA60" i="1"/>
  <c r="Z60" i="1" a="1"/>
  <c r="Z60" i="1"/>
  <c r="Y60" i="1" a="1"/>
  <c r="Y60" i="1"/>
  <c r="O60" i="1"/>
  <c r="AN59" i="1"/>
  <c r="AF59" i="1" a="1"/>
  <c r="AF59" i="1"/>
  <c r="AE59" i="1"/>
  <c r="AD59" i="1" a="1"/>
  <c r="AD59" i="1"/>
  <c r="AC59" i="1" a="1"/>
  <c r="AC59" i="1"/>
  <c r="AB59" i="1" a="1"/>
  <c r="AB59" i="1"/>
  <c r="AM59" i="1" s="1"/>
  <c r="AA59" i="1" a="1"/>
  <c r="AA59" i="1"/>
  <c r="Z59" i="1" a="1"/>
  <c r="Z59" i="1"/>
  <c r="Y59" i="1" a="1"/>
  <c r="Y59" i="1"/>
  <c r="O59" i="1"/>
  <c r="N59" i="1"/>
  <c r="M59" i="1"/>
  <c r="AN58" i="1"/>
  <c r="AM58" i="1"/>
  <c r="AF58" i="1" a="1"/>
  <c r="AF58" i="1"/>
  <c r="AE58" i="1"/>
  <c r="AD58" i="1" a="1"/>
  <c r="AD58" i="1"/>
  <c r="AC58" i="1" a="1"/>
  <c r="AC58" i="1"/>
  <c r="AB58" i="1" a="1"/>
  <c r="AB58" i="1"/>
  <c r="AA58" i="1" a="1"/>
  <c r="AA58" i="1"/>
  <c r="Z58" i="1" a="1"/>
  <c r="Z58" i="1"/>
  <c r="Y58" i="1" a="1"/>
  <c r="Y58" i="1"/>
  <c r="O58" i="1"/>
  <c r="N58" i="1"/>
  <c r="M58" i="1"/>
  <c r="AN57" i="1"/>
  <c r="AF57" i="1" a="1"/>
  <c r="AF57" i="1"/>
  <c r="AE57" i="1"/>
  <c r="AD57" i="1" a="1"/>
  <c r="AD57" i="1"/>
  <c r="AC57" i="1" a="1"/>
  <c r="AC57" i="1"/>
  <c r="AM57" i="1" s="1"/>
  <c r="AB57" i="1" a="1"/>
  <c r="AB57" i="1"/>
  <c r="AA57" i="1" a="1"/>
  <c r="AA57" i="1"/>
  <c r="Z57" i="1" a="1"/>
  <c r="Z57" i="1"/>
  <c r="Y57" i="1" a="1"/>
  <c r="Y57" i="1"/>
  <c r="O57" i="1"/>
  <c r="N57" i="1"/>
  <c r="M57" i="1"/>
  <c r="AN56" i="1"/>
  <c r="AF56" i="1" a="1"/>
  <c r="AF56" i="1"/>
  <c r="AE56" i="1"/>
  <c r="AD56" i="1" a="1"/>
  <c r="AD56" i="1"/>
  <c r="AC56" i="1" a="1"/>
  <c r="AC56" i="1"/>
  <c r="AB56" i="1" a="1"/>
  <c r="AB56" i="1"/>
  <c r="AM56" i="1" s="1"/>
  <c r="AA56" i="1" a="1"/>
  <c r="AA56" i="1"/>
  <c r="Z56" i="1" a="1"/>
  <c r="Z56" i="1"/>
  <c r="Y56" i="1" a="1"/>
  <c r="Y56" i="1"/>
  <c r="O56" i="1"/>
  <c r="N56" i="1"/>
  <c r="M56" i="1"/>
  <c r="AN55" i="1"/>
  <c r="AF55" i="1" a="1"/>
  <c r="AF55" i="1"/>
  <c r="AE55" i="1"/>
  <c r="AD55" i="1" a="1"/>
  <c r="AD55" i="1"/>
  <c r="AC55" i="1" a="1"/>
  <c r="AC55" i="1"/>
  <c r="AB55" i="1" a="1"/>
  <c r="AB55" i="1"/>
  <c r="AM55" i="1" s="1"/>
  <c r="AA55" i="1" a="1"/>
  <c r="AA55" i="1"/>
  <c r="Z55" i="1" a="1"/>
  <c r="Z55" i="1"/>
  <c r="Y55" i="1" a="1"/>
  <c r="Y55" i="1"/>
  <c r="O55" i="1"/>
  <c r="N55" i="1"/>
  <c r="M55" i="1"/>
  <c r="AN54" i="1"/>
  <c r="AM54" i="1"/>
  <c r="AF54" i="1" a="1"/>
  <c r="AF54" i="1"/>
  <c r="AE54" i="1"/>
  <c r="AD54" i="1" a="1"/>
  <c r="AD54" i="1"/>
  <c r="AC54" i="1" a="1"/>
  <c r="AC54" i="1"/>
  <c r="AB54" i="1" a="1"/>
  <c r="AB54" i="1"/>
  <c r="AA54" i="1" a="1"/>
  <c r="AA54" i="1"/>
  <c r="Z54" i="1" a="1"/>
  <c r="Z54" i="1"/>
  <c r="Y54" i="1" a="1"/>
  <c r="Y54" i="1"/>
  <c r="O54" i="1"/>
  <c r="N54" i="1"/>
  <c r="M54" i="1"/>
  <c r="AN53" i="1"/>
  <c r="AF53" i="1" a="1"/>
  <c r="AF53" i="1"/>
  <c r="AE53" i="1"/>
  <c r="AD53" i="1" a="1"/>
  <c r="AD53" i="1"/>
  <c r="AC53" i="1" a="1"/>
  <c r="AC53" i="1"/>
  <c r="AM53" i="1" s="1"/>
  <c r="AB53" i="1" a="1"/>
  <c r="AB53" i="1"/>
  <c r="AA53" i="1" a="1"/>
  <c r="AA53" i="1"/>
  <c r="Z53" i="1" a="1"/>
  <c r="Z53" i="1"/>
  <c r="Y53" i="1" a="1"/>
  <c r="Y53" i="1"/>
  <c r="O53" i="1"/>
  <c r="N53" i="1"/>
  <c r="M53" i="1"/>
  <c r="AN52" i="1"/>
  <c r="AF52" i="1" a="1"/>
  <c r="AF52" i="1"/>
  <c r="AE52" i="1"/>
  <c r="AD52" i="1" a="1"/>
  <c r="AD52" i="1"/>
  <c r="AC52" i="1" a="1"/>
  <c r="AC52" i="1"/>
  <c r="AB52" i="1" a="1"/>
  <c r="AB52" i="1"/>
  <c r="AM52" i="1" s="1"/>
  <c r="AA52" i="1" a="1"/>
  <c r="AA52" i="1"/>
  <c r="Z52" i="1" a="1"/>
  <c r="Z52" i="1"/>
  <c r="Y52" i="1" a="1"/>
  <c r="Y52" i="1"/>
  <c r="O52" i="1"/>
  <c r="N52" i="1"/>
  <c r="M52" i="1"/>
  <c r="AN51" i="1"/>
  <c r="AF51" i="1" a="1"/>
  <c r="AF51" i="1"/>
  <c r="AE51" i="1"/>
  <c r="AD51" i="1" a="1"/>
  <c r="AD51" i="1"/>
  <c r="AC51" i="1" a="1"/>
  <c r="AC51" i="1"/>
  <c r="AB51" i="1" a="1"/>
  <c r="AB51" i="1"/>
  <c r="AM51" i="1" s="1"/>
  <c r="AA51" i="1" a="1"/>
  <c r="AA51" i="1"/>
  <c r="Z51" i="1" a="1"/>
  <c r="Z51" i="1"/>
  <c r="Y51" i="1" a="1"/>
  <c r="Y51" i="1"/>
  <c r="AN50" i="1"/>
  <c r="AF50" i="1" a="1"/>
  <c r="AF50" i="1"/>
  <c r="AE50" i="1"/>
  <c r="AD50" i="1" a="1"/>
  <c r="AD50" i="1"/>
  <c r="AC50" i="1" a="1"/>
  <c r="AC50" i="1"/>
  <c r="AM50" i="1" s="1"/>
  <c r="AB50" i="1" a="1"/>
  <c r="AB50" i="1"/>
  <c r="AA50" i="1" a="1"/>
  <c r="AA50" i="1"/>
  <c r="Z50" i="1" a="1"/>
  <c r="Z50" i="1"/>
  <c r="Y50" i="1" a="1"/>
  <c r="Y50" i="1"/>
  <c r="AN49" i="1"/>
  <c r="AF49" i="1" a="1"/>
  <c r="AF49" i="1"/>
  <c r="AE49" i="1"/>
  <c r="AD49" i="1" a="1"/>
  <c r="AD49" i="1"/>
  <c r="AC49" i="1" a="1"/>
  <c r="AC49" i="1"/>
  <c r="AB49" i="1" a="1"/>
  <c r="AB49" i="1"/>
  <c r="AM49" i="1" s="1"/>
  <c r="AA49" i="1" a="1"/>
  <c r="AA49" i="1"/>
  <c r="Z49" i="1" a="1"/>
  <c r="Z49" i="1"/>
  <c r="Y49" i="1" a="1"/>
  <c r="Y49" i="1"/>
  <c r="AN48" i="1"/>
  <c r="AM48" i="1"/>
  <c r="AF48" i="1" a="1"/>
  <c r="AF48" i="1"/>
  <c r="AE48" i="1"/>
  <c r="AD48" i="1" a="1"/>
  <c r="AD48" i="1"/>
  <c r="AC48" i="1" a="1"/>
  <c r="AC48" i="1"/>
  <c r="AB48" i="1" a="1"/>
  <c r="AB48" i="1"/>
  <c r="AA48" i="1" a="1"/>
  <c r="AA48" i="1"/>
  <c r="Z48" i="1" a="1"/>
  <c r="Z48" i="1"/>
  <c r="Y48" i="1" a="1"/>
  <c r="Y48" i="1"/>
  <c r="T48" i="1"/>
  <c r="O48" i="1"/>
  <c r="AN47" i="1"/>
  <c r="AF47" i="1" a="1"/>
  <c r="AF47" i="1"/>
  <c r="AE47" i="1"/>
  <c r="AD47" i="1" a="1"/>
  <c r="AD47" i="1"/>
  <c r="AC47" i="1" a="1"/>
  <c r="AC47" i="1"/>
  <c r="AB47" i="1" a="1"/>
  <c r="AB47" i="1"/>
  <c r="AM47" i="1" s="1"/>
  <c r="AA47" i="1" a="1"/>
  <c r="AA47" i="1"/>
  <c r="Z47" i="1" a="1"/>
  <c r="Z47" i="1"/>
  <c r="Y47" i="1" a="1"/>
  <c r="Y47" i="1"/>
  <c r="O47" i="1"/>
  <c r="AN46" i="1"/>
  <c r="AF46" i="1" a="1"/>
  <c r="AF46" i="1"/>
  <c r="AE46" i="1"/>
  <c r="AD46" i="1" a="1"/>
  <c r="AD46" i="1"/>
  <c r="AC46" i="1" a="1"/>
  <c r="AC46" i="1"/>
  <c r="AB46" i="1" a="1"/>
  <c r="AB46" i="1"/>
  <c r="AM46" i="1" s="1"/>
  <c r="AA46" i="1" a="1"/>
  <c r="AA46" i="1"/>
  <c r="Z46" i="1" a="1"/>
  <c r="Z46" i="1"/>
  <c r="Y46" i="1" a="1"/>
  <c r="Y46" i="1"/>
  <c r="O46" i="1"/>
  <c r="N46" i="1"/>
  <c r="M46" i="1"/>
  <c r="L46" i="1"/>
  <c r="K46" i="1"/>
  <c r="AN45" i="1"/>
  <c r="AF45" i="1" a="1"/>
  <c r="AF45" i="1"/>
  <c r="AE45" i="1"/>
  <c r="AD45" i="1" a="1"/>
  <c r="AD45" i="1"/>
  <c r="AC45" i="1" a="1"/>
  <c r="AC45" i="1"/>
  <c r="AB45" i="1" a="1"/>
  <c r="AB45" i="1"/>
  <c r="AM45" i="1" s="1"/>
  <c r="AA45" i="1" a="1"/>
  <c r="AA45" i="1"/>
  <c r="Z45" i="1" a="1"/>
  <c r="Z45" i="1"/>
  <c r="Y45" i="1" a="1"/>
  <c r="Y45" i="1"/>
  <c r="AN44" i="1"/>
  <c r="AF44" i="1" a="1"/>
  <c r="AF44" i="1"/>
  <c r="AE44" i="1"/>
  <c r="AD44" i="1" a="1"/>
  <c r="AD44" i="1"/>
  <c r="AM44" i="1" s="1"/>
  <c r="AC44" i="1" a="1"/>
  <c r="AC44" i="1"/>
  <c r="AB44" i="1" a="1"/>
  <c r="AB44" i="1"/>
  <c r="AA44" i="1" a="1"/>
  <c r="AA44" i="1"/>
  <c r="Z44" i="1" a="1"/>
  <c r="Z44" i="1"/>
  <c r="Y44" i="1" a="1"/>
  <c r="Y44" i="1"/>
  <c r="O44" i="1"/>
  <c r="AN43" i="1"/>
  <c r="AM43" i="1"/>
  <c r="AF43" i="1" a="1"/>
  <c r="AF43" i="1"/>
  <c r="AE43" i="1"/>
  <c r="AD43" i="1" a="1"/>
  <c r="AD43" i="1"/>
  <c r="AC43" i="1" a="1"/>
  <c r="AC43" i="1"/>
  <c r="AB43" i="1" a="1"/>
  <c r="AB43" i="1"/>
  <c r="AA43" i="1" a="1"/>
  <c r="AA43" i="1"/>
  <c r="Z43" i="1" a="1"/>
  <c r="Z43" i="1"/>
  <c r="Y43" i="1" a="1"/>
  <c r="Y43" i="1"/>
  <c r="O43" i="1"/>
  <c r="AN42" i="1"/>
  <c r="AM42" i="1"/>
  <c r="AF42" i="1" a="1"/>
  <c r="AF42" i="1"/>
  <c r="AE42" i="1"/>
  <c r="AD42" i="1" a="1"/>
  <c r="AD42" i="1"/>
  <c r="AC42" i="1" a="1"/>
  <c r="AC42" i="1"/>
  <c r="AB42" i="1" a="1"/>
  <c r="AB42" i="1"/>
  <c r="AA42" i="1" a="1"/>
  <c r="AA42" i="1"/>
  <c r="Z42" i="1" a="1"/>
  <c r="Z42" i="1"/>
  <c r="Y42" i="1" a="1"/>
  <c r="Y42" i="1"/>
  <c r="O42" i="1"/>
  <c r="AN41" i="1"/>
  <c r="AM41" i="1"/>
  <c r="AF41" i="1" a="1"/>
  <c r="AF41" i="1"/>
  <c r="AE41" i="1"/>
  <c r="AD41" i="1" a="1"/>
  <c r="AD41" i="1"/>
  <c r="AC41" i="1" a="1"/>
  <c r="AC41" i="1"/>
  <c r="AB41" i="1" a="1"/>
  <c r="AB41" i="1"/>
  <c r="AA41" i="1" a="1"/>
  <c r="AA41" i="1"/>
  <c r="Z41" i="1" a="1"/>
  <c r="Z41" i="1"/>
  <c r="Y41" i="1" a="1"/>
  <c r="Y41" i="1"/>
  <c r="O41" i="1"/>
  <c r="AN40" i="1"/>
  <c r="AM40" i="1"/>
  <c r="AF40" i="1" a="1"/>
  <c r="AF40" i="1"/>
  <c r="AE40" i="1"/>
  <c r="AD40" i="1" a="1"/>
  <c r="AD40" i="1"/>
  <c r="AC40" i="1" a="1"/>
  <c r="AC40" i="1"/>
  <c r="AB40" i="1" a="1"/>
  <c r="AB40" i="1"/>
  <c r="AA40" i="1" a="1"/>
  <c r="AA40" i="1"/>
  <c r="Z40" i="1" a="1"/>
  <c r="Z40" i="1"/>
  <c r="Y40" i="1" a="1"/>
  <c r="Y40" i="1"/>
  <c r="T40" i="1"/>
  <c r="O40" i="1"/>
  <c r="AN39" i="1"/>
  <c r="AF39" i="1" a="1"/>
  <c r="AF39" i="1"/>
  <c r="AE39" i="1"/>
  <c r="AD39" i="1" a="1"/>
  <c r="AD39" i="1"/>
  <c r="AC39" i="1" a="1"/>
  <c r="AC39" i="1"/>
  <c r="AB39" i="1" a="1"/>
  <c r="AB39" i="1"/>
  <c r="AM39" i="1" s="1"/>
  <c r="AA39" i="1" a="1"/>
  <c r="AA39" i="1"/>
  <c r="Z39" i="1" a="1"/>
  <c r="Z39" i="1"/>
  <c r="Y39" i="1" a="1"/>
  <c r="Y39" i="1"/>
  <c r="T39" i="1"/>
  <c r="O39" i="1"/>
  <c r="AN38" i="1"/>
  <c r="AF38" i="1" a="1"/>
  <c r="AF38" i="1"/>
  <c r="AE38" i="1"/>
  <c r="AD38" i="1" a="1"/>
  <c r="AD38" i="1"/>
  <c r="AC38" i="1" a="1"/>
  <c r="AC38" i="1"/>
  <c r="AM38" i="1" s="1"/>
  <c r="AB38" i="1" a="1"/>
  <c r="AB38" i="1"/>
  <c r="AA38" i="1" a="1"/>
  <c r="AA38" i="1"/>
  <c r="Z38" i="1" a="1"/>
  <c r="Z38" i="1"/>
  <c r="Y38" i="1" a="1"/>
  <c r="Y38" i="1"/>
  <c r="O38" i="1"/>
  <c r="AN37" i="1"/>
  <c r="AF37" i="1" a="1"/>
  <c r="AF37" i="1"/>
  <c r="AE37" i="1"/>
  <c r="AD37" i="1" a="1"/>
  <c r="AD37" i="1"/>
  <c r="AM37" i="1" s="1"/>
  <c r="AC37" i="1" a="1"/>
  <c r="AC37" i="1"/>
  <c r="AB37" i="1" a="1"/>
  <c r="AB37" i="1"/>
  <c r="AA37" i="1" a="1"/>
  <c r="AA37" i="1"/>
  <c r="Z37" i="1" a="1"/>
  <c r="Z37" i="1"/>
  <c r="Y37" i="1" a="1"/>
  <c r="Y37" i="1"/>
  <c r="O37" i="1"/>
  <c r="AN36" i="1"/>
  <c r="AM36" i="1"/>
  <c r="AF36" i="1" a="1"/>
  <c r="AF36" i="1"/>
  <c r="AE36" i="1"/>
  <c r="AD36" i="1" a="1"/>
  <c r="AD36" i="1"/>
  <c r="AC36" i="1" a="1"/>
  <c r="AC36" i="1"/>
  <c r="AB36" i="1" a="1"/>
  <c r="AB36" i="1"/>
  <c r="AA36" i="1" a="1"/>
  <c r="AA36" i="1"/>
  <c r="Z36" i="1" a="1"/>
  <c r="Z36" i="1"/>
  <c r="Y36" i="1" a="1"/>
  <c r="Y36" i="1"/>
  <c r="O36" i="1"/>
  <c r="N36" i="1"/>
  <c r="M36" i="1"/>
  <c r="L36" i="1"/>
  <c r="K36" i="1"/>
  <c r="AN35" i="1"/>
  <c r="AF35" i="1" a="1"/>
  <c r="AF35" i="1"/>
  <c r="AE35" i="1"/>
  <c r="AD35" i="1" a="1"/>
  <c r="AD35" i="1"/>
  <c r="AC35" i="1" a="1"/>
  <c r="AC35" i="1"/>
  <c r="AB35" i="1" a="1"/>
  <c r="AB35" i="1"/>
  <c r="AA35" i="1" a="1"/>
  <c r="AA35" i="1"/>
  <c r="Z35" i="1" a="1"/>
  <c r="Z35" i="1"/>
  <c r="AM35" i="1" s="1"/>
  <c r="Y35" i="1" a="1"/>
  <c r="Y35" i="1"/>
  <c r="O35" i="1"/>
  <c r="N35" i="1"/>
  <c r="AN34" i="1"/>
  <c r="AF34" i="1" a="1"/>
  <c r="AF34" i="1"/>
  <c r="AE34" i="1"/>
  <c r="AD34" i="1" a="1"/>
  <c r="AD34" i="1"/>
  <c r="AC34" i="1" a="1"/>
  <c r="AC34" i="1"/>
  <c r="AB34" i="1" a="1"/>
  <c r="AB34" i="1"/>
  <c r="AM34" i="1" s="1"/>
  <c r="AA34" i="1" a="1"/>
  <c r="AA34" i="1"/>
  <c r="Z34" i="1" a="1"/>
  <c r="Z34" i="1"/>
  <c r="Y34" i="1" a="1"/>
  <c r="Y34" i="1"/>
  <c r="T34" i="1"/>
  <c r="O34" i="1"/>
  <c r="N34" i="1"/>
  <c r="AN33" i="1"/>
  <c r="AF33" i="1" a="1"/>
  <c r="AF33" i="1"/>
  <c r="AE33" i="1"/>
  <c r="AD33" i="1" a="1"/>
  <c r="AD33" i="1"/>
  <c r="AC33" i="1" a="1"/>
  <c r="AC33" i="1"/>
  <c r="AB33" i="1" a="1"/>
  <c r="AB33" i="1"/>
  <c r="AM33" i="1" s="1"/>
  <c r="AA33" i="1" a="1"/>
  <c r="AA33" i="1"/>
  <c r="Z33" i="1" a="1"/>
  <c r="Z33" i="1"/>
  <c r="Y33" i="1" a="1"/>
  <c r="Y33" i="1"/>
  <c r="O33" i="1"/>
  <c r="AN32" i="1"/>
  <c r="AF32" i="1" a="1"/>
  <c r="AF32" i="1"/>
  <c r="AE32" i="1"/>
  <c r="AD32" i="1" a="1"/>
  <c r="AD32" i="1"/>
  <c r="AC32" i="1" a="1"/>
  <c r="AC32" i="1"/>
  <c r="AB32" i="1" a="1"/>
  <c r="AB32" i="1"/>
  <c r="AM32" i="1" s="1"/>
  <c r="AA32" i="1" a="1"/>
  <c r="AA32" i="1"/>
  <c r="Z32" i="1" a="1"/>
  <c r="Z32" i="1"/>
  <c r="Y32" i="1" a="1"/>
  <c r="Y32" i="1"/>
  <c r="O32" i="1"/>
  <c r="N32" i="1"/>
  <c r="M32" i="1"/>
  <c r="K32" i="1"/>
  <c r="AN31" i="1"/>
  <c r="AM31" i="1"/>
  <c r="AF31" i="1" a="1"/>
  <c r="AF31" i="1"/>
  <c r="AE31" i="1"/>
  <c r="AD31" i="1" a="1"/>
  <c r="AD31" i="1"/>
  <c r="AC31" i="1" a="1"/>
  <c r="AC31" i="1"/>
  <c r="AB31" i="1" a="1"/>
  <c r="AB31" i="1"/>
  <c r="AA31" i="1" a="1"/>
  <c r="AA31" i="1"/>
  <c r="Z31" i="1" a="1"/>
  <c r="Z31" i="1"/>
  <c r="Y31" i="1" a="1"/>
  <c r="Y31" i="1"/>
  <c r="O31" i="1"/>
  <c r="N31" i="1"/>
  <c r="AN30" i="1"/>
  <c r="AF30" i="1" a="1"/>
  <c r="AF30" i="1"/>
  <c r="AE30" i="1"/>
  <c r="AD30" i="1" a="1"/>
  <c r="AD30" i="1"/>
  <c r="AC30" i="1" a="1"/>
  <c r="AC30" i="1"/>
  <c r="AB30" i="1" a="1"/>
  <c r="AB30" i="1"/>
  <c r="AM30" i="1" s="1"/>
  <c r="AA30" i="1" a="1"/>
  <c r="AA30" i="1"/>
  <c r="Z30" i="1" a="1"/>
  <c r="Z30" i="1"/>
  <c r="Y30" i="1" a="1"/>
  <c r="Y30" i="1"/>
  <c r="AN29" i="1"/>
  <c r="AF29" i="1" a="1"/>
  <c r="AF29" i="1"/>
  <c r="AE29" i="1"/>
  <c r="AD29" i="1" a="1"/>
  <c r="AD29" i="1"/>
  <c r="AC29" i="1" a="1"/>
  <c r="AC29" i="1"/>
  <c r="AB29" i="1" a="1"/>
  <c r="AB29" i="1"/>
  <c r="AA29" i="1" a="1"/>
  <c r="AA29" i="1"/>
  <c r="AM29" i="1" s="1"/>
  <c r="Z29" i="1" a="1"/>
  <c r="Z29" i="1"/>
  <c r="Y29" i="1" a="1"/>
  <c r="Y29" i="1"/>
  <c r="O29" i="1"/>
  <c r="N29" i="1"/>
  <c r="M29" i="1"/>
  <c r="AN28" i="1"/>
  <c r="AF28" i="1" a="1"/>
  <c r="AF28" i="1"/>
  <c r="AE28" i="1"/>
  <c r="AD28" i="1" a="1"/>
  <c r="AD28" i="1"/>
  <c r="AC28" i="1" a="1"/>
  <c r="AC28" i="1"/>
  <c r="AM28" i="1" s="1"/>
  <c r="AB28" i="1" a="1"/>
  <c r="AB28" i="1"/>
  <c r="AA28" i="1" a="1"/>
  <c r="AA28" i="1"/>
  <c r="Z28" i="1" a="1"/>
  <c r="Z28" i="1"/>
  <c r="Y28" i="1" a="1"/>
  <c r="Y28" i="1"/>
  <c r="O28" i="1"/>
  <c r="N28" i="1"/>
  <c r="M28" i="1"/>
  <c r="AN27" i="1"/>
  <c r="AM27" i="1"/>
  <c r="AF27" i="1" a="1"/>
  <c r="AF27" i="1"/>
  <c r="AE27" i="1"/>
  <c r="AD27" i="1" a="1"/>
  <c r="AD27" i="1"/>
  <c r="AC27" i="1" a="1"/>
  <c r="AC27" i="1"/>
  <c r="AB27" i="1" a="1"/>
  <c r="AB27" i="1"/>
  <c r="AA27" i="1" a="1"/>
  <c r="AA27" i="1"/>
  <c r="Z27" i="1" a="1"/>
  <c r="Z27" i="1"/>
  <c r="Y27" i="1" a="1"/>
  <c r="Y27" i="1"/>
  <c r="O27" i="1"/>
  <c r="N27" i="1"/>
  <c r="M27" i="1"/>
  <c r="AN26" i="1"/>
  <c r="AM26" i="1"/>
  <c r="AF26" i="1" a="1"/>
  <c r="AF26" i="1"/>
  <c r="AE26" i="1"/>
  <c r="AD26" i="1" a="1"/>
  <c r="AD26" i="1"/>
  <c r="AC26" i="1" a="1"/>
  <c r="AC26" i="1"/>
  <c r="AB26" i="1" a="1"/>
  <c r="AB26" i="1"/>
  <c r="AA26" i="1" a="1"/>
  <c r="AA26" i="1"/>
  <c r="Z26" i="1" a="1"/>
  <c r="Z26" i="1"/>
  <c r="Y26" i="1" a="1"/>
  <c r="Y26" i="1"/>
  <c r="O26" i="1"/>
  <c r="AN25" i="1"/>
  <c r="AM25" i="1"/>
  <c r="AF25" i="1" a="1"/>
  <c r="AF25" i="1"/>
  <c r="AE25" i="1"/>
  <c r="AD25" i="1" a="1"/>
  <c r="AD25" i="1"/>
  <c r="AC25" i="1" a="1"/>
  <c r="AC25" i="1"/>
  <c r="AB25" i="1" a="1"/>
  <c r="AB25" i="1"/>
  <c r="AA25" i="1" a="1"/>
  <c r="AA25" i="1"/>
  <c r="Z25" i="1" a="1"/>
  <c r="Z25" i="1"/>
  <c r="Y25" i="1" a="1"/>
  <c r="Y25" i="1"/>
  <c r="T25" i="1"/>
  <c r="O25" i="1"/>
  <c r="K25" i="1"/>
  <c r="AN24" i="1"/>
  <c r="AF24" i="1" a="1"/>
  <c r="AF24" i="1"/>
  <c r="AE24" i="1"/>
  <c r="AD24" i="1" a="1"/>
  <c r="AD24" i="1"/>
  <c r="AC24" i="1" a="1"/>
  <c r="AC24" i="1"/>
  <c r="AB24" i="1" a="1"/>
  <c r="AB24" i="1"/>
  <c r="AM24" i="1" s="1"/>
  <c r="AA24" i="1" a="1"/>
  <c r="AA24" i="1"/>
  <c r="Z24" i="1" a="1"/>
  <c r="Z24" i="1"/>
  <c r="Y24" i="1" a="1"/>
  <c r="Y24" i="1"/>
  <c r="O24" i="1"/>
  <c r="AN23" i="1"/>
  <c r="AF23" i="1" a="1"/>
  <c r="AF23" i="1"/>
  <c r="AE23" i="1"/>
  <c r="AD23" i="1" a="1"/>
  <c r="AD23" i="1"/>
  <c r="AC23" i="1" a="1"/>
  <c r="AC23" i="1"/>
  <c r="AB23" i="1" a="1"/>
  <c r="AB23" i="1"/>
  <c r="AM23" i="1" s="1"/>
  <c r="AA23" i="1" a="1"/>
  <c r="AA23" i="1"/>
  <c r="Z23" i="1" a="1"/>
  <c r="Z23" i="1"/>
  <c r="Y23" i="1" a="1"/>
  <c r="Y23" i="1"/>
  <c r="O23" i="1"/>
  <c r="K23" i="1"/>
  <c r="AN22" i="1"/>
  <c r="AF22" i="1" a="1"/>
  <c r="AF22" i="1"/>
  <c r="AE22" i="1"/>
  <c r="AD22" i="1" a="1"/>
  <c r="AD22" i="1"/>
  <c r="AC22" i="1" a="1"/>
  <c r="AC22" i="1"/>
  <c r="AB22" i="1" a="1"/>
  <c r="AB22" i="1"/>
  <c r="AM22" i="1" s="1"/>
  <c r="AA22" i="1" a="1"/>
  <c r="AA22" i="1"/>
  <c r="Z22" i="1" a="1"/>
  <c r="Z22" i="1"/>
  <c r="Y22" i="1" a="1"/>
  <c r="Y22" i="1"/>
  <c r="O22" i="1"/>
  <c r="L22" i="1"/>
  <c r="K22" i="1"/>
  <c r="AN21" i="1"/>
  <c r="AM21" i="1"/>
  <c r="AF21" i="1" a="1"/>
  <c r="AF21" i="1"/>
  <c r="AE21" i="1"/>
  <c r="AD21" i="1" a="1"/>
  <c r="AD21" i="1"/>
  <c r="AC21" i="1" a="1"/>
  <c r="AC21" i="1"/>
  <c r="AB21" i="1" a="1"/>
  <c r="AB21" i="1"/>
  <c r="AA21" i="1" a="1"/>
  <c r="AA21" i="1"/>
  <c r="Z21" i="1" a="1"/>
  <c r="Z21" i="1"/>
  <c r="Y21" i="1" a="1"/>
  <c r="Y21" i="1"/>
  <c r="O21" i="1"/>
  <c r="L21" i="1"/>
  <c r="K21" i="1"/>
  <c r="AN20" i="1"/>
  <c r="AF20" i="1" a="1"/>
  <c r="AF20" i="1"/>
  <c r="AE20" i="1"/>
  <c r="AD20" i="1" a="1"/>
  <c r="AD20" i="1"/>
  <c r="AC20" i="1" a="1"/>
  <c r="AC20" i="1"/>
  <c r="AB20" i="1" a="1"/>
  <c r="AB20" i="1"/>
  <c r="AM20" i="1" s="1"/>
  <c r="AA20" i="1" a="1"/>
  <c r="AA20" i="1"/>
  <c r="Z20" i="1" a="1"/>
  <c r="Z20" i="1"/>
  <c r="Y20" i="1" a="1"/>
  <c r="Y20" i="1"/>
  <c r="O20" i="1"/>
  <c r="AN19" i="1"/>
  <c r="AF19" i="1" a="1"/>
  <c r="AF19" i="1"/>
  <c r="AE19" i="1"/>
  <c r="AD19" i="1" a="1"/>
  <c r="AD19" i="1"/>
  <c r="AC19" i="1" a="1"/>
  <c r="AC19" i="1"/>
  <c r="AB19" i="1" a="1"/>
  <c r="AB19" i="1"/>
  <c r="AM19" i="1" s="1"/>
  <c r="AA19" i="1" a="1"/>
  <c r="AA19" i="1"/>
  <c r="Z19" i="1" a="1"/>
  <c r="Z19" i="1"/>
  <c r="Y19" i="1" a="1"/>
  <c r="Y19" i="1"/>
  <c r="O19" i="1"/>
  <c r="K19" i="1"/>
  <c r="AN18" i="1"/>
  <c r="AF18" i="1" a="1"/>
  <c r="AF18" i="1"/>
  <c r="AE18" i="1"/>
  <c r="AD18" i="1" a="1"/>
  <c r="AD18" i="1"/>
  <c r="AC18" i="1" a="1"/>
  <c r="AC18" i="1"/>
  <c r="AB18" i="1" a="1"/>
  <c r="AB18" i="1"/>
  <c r="AM18" i="1" s="1"/>
  <c r="AA18" i="1" a="1"/>
  <c r="AA18" i="1"/>
  <c r="Z18" i="1" a="1"/>
  <c r="Z18" i="1"/>
  <c r="Y18" i="1" a="1"/>
  <c r="Y18" i="1"/>
  <c r="O18" i="1"/>
  <c r="K18" i="1"/>
  <c r="AN17" i="1"/>
  <c r="AF17" i="1" a="1"/>
  <c r="AF17" i="1"/>
  <c r="AE17" i="1"/>
  <c r="AD17" i="1" a="1"/>
  <c r="AD17" i="1"/>
  <c r="AC17" i="1" a="1"/>
  <c r="AC17" i="1"/>
  <c r="AB17" i="1" a="1"/>
  <c r="AB17" i="1"/>
  <c r="AM17" i="1" s="1"/>
  <c r="AA17" i="1" a="1"/>
  <c r="AA17" i="1"/>
  <c r="Z17" i="1" a="1"/>
  <c r="Z17" i="1"/>
  <c r="Y17" i="1" a="1"/>
  <c r="Y17" i="1"/>
  <c r="O17" i="1"/>
  <c r="K17" i="1"/>
  <c r="AN16" i="1"/>
  <c r="AM16" i="1"/>
  <c r="AF16" i="1" a="1"/>
  <c r="AF16" i="1"/>
  <c r="AE16" i="1"/>
  <c r="AD16" i="1" a="1"/>
  <c r="AD16" i="1"/>
  <c r="AC16" i="1" a="1"/>
  <c r="AC16" i="1"/>
  <c r="AB16" i="1" a="1"/>
  <c r="AB16" i="1"/>
  <c r="AA16" i="1" a="1"/>
  <c r="AA16" i="1"/>
  <c r="Z16" i="1" a="1"/>
  <c r="Z16" i="1"/>
  <c r="Y16" i="1" a="1"/>
  <c r="Y16" i="1"/>
  <c r="O16" i="1"/>
  <c r="K16" i="1"/>
  <c r="AN15" i="1"/>
  <c r="AF15" i="1" a="1"/>
  <c r="AF15" i="1"/>
  <c r="AE15" i="1"/>
  <c r="AD15" i="1" a="1"/>
  <c r="AD15" i="1"/>
  <c r="AC15" i="1" a="1"/>
  <c r="AC15" i="1"/>
  <c r="AB15" i="1" a="1"/>
  <c r="AB15" i="1"/>
  <c r="AM15" i="1" s="1"/>
  <c r="AA15" i="1" a="1"/>
  <c r="AA15" i="1"/>
  <c r="Z15" i="1" a="1"/>
  <c r="Z15" i="1"/>
  <c r="Y15" i="1" a="1"/>
  <c r="Y15" i="1"/>
  <c r="O15" i="1"/>
  <c r="K15" i="1"/>
  <c r="AN14" i="1"/>
  <c r="AM14" i="1"/>
  <c r="AF14" i="1" a="1"/>
  <c r="AF14" i="1"/>
  <c r="AE14" i="1"/>
  <c r="AD14" i="1" a="1"/>
  <c r="AD14" i="1"/>
  <c r="AC14" i="1" a="1"/>
  <c r="AC14" i="1"/>
  <c r="AB14" i="1" a="1"/>
  <c r="AB14" i="1"/>
  <c r="AA14" i="1" a="1"/>
  <c r="AA14" i="1"/>
  <c r="Z14" i="1" a="1"/>
  <c r="Z14" i="1"/>
  <c r="Y14" i="1" a="1"/>
  <c r="Y14" i="1"/>
  <c r="O14" i="1"/>
  <c r="K14" i="1"/>
  <c r="AN13" i="1"/>
  <c r="AF13" i="1" a="1"/>
  <c r="AF13" i="1"/>
  <c r="AE13" i="1"/>
  <c r="AD13" i="1" a="1"/>
  <c r="AD13" i="1"/>
  <c r="AC13" i="1" a="1"/>
  <c r="AC13" i="1"/>
  <c r="AB13" i="1" a="1"/>
  <c r="AB13" i="1"/>
  <c r="AM13" i="1" s="1"/>
  <c r="AA13" i="1" a="1"/>
  <c r="AA13" i="1"/>
  <c r="Z13" i="1" a="1"/>
  <c r="Z13" i="1"/>
  <c r="Y13" i="1" a="1"/>
  <c r="Y13" i="1"/>
  <c r="O13" i="1"/>
  <c r="AN12" i="1"/>
  <c r="AF12" i="1" a="1"/>
  <c r="AF12" i="1"/>
  <c r="AE12" i="1"/>
  <c r="AD12" i="1" a="1"/>
  <c r="AD12" i="1"/>
  <c r="AC12" i="1" a="1"/>
  <c r="AC12" i="1"/>
  <c r="AB12" i="1" a="1"/>
  <c r="AB12" i="1"/>
  <c r="AM12" i="1" s="1"/>
  <c r="AA12" i="1" a="1"/>
  <c r="AA12" i="1"/>
  <c r="Z12" i="1" a="1"/>
  <c r="Z12" i="1"/>
  <c r="Y12" i="1" a="1"/>
  <c r="Y12" i="1"/>
  <c r="O12" i="1"/>
  <c r="K12" i="1"/>
  <c r="AN11" i="1"/>
  <c r="AF11" i="1" a="1"/>
  <c r="AF11" i="1"/>
  <c r="AE11" i="1"/>
  <c r="AD11" i="1" a="1"/>
  <c r="AD11" i="1"/>
  <c r="AM11" i="1" s="1"/>
  <c r="AC11" i="1" a="1"/>
  <c r="AC11" i="1"/>
  <c r="AB11" i="1" a="1"/>
  <c r="AB11" i="1"/>
  <c r="AA11" i="1" a="1"/>
  <c r="AA11" i="1"/>
  <c r="Z11" i="1" a="1"/>
  <c r="Z11" i="1"/>
  <c r="Y11" i="1" a="1"/>
  <c r="Y11" i="1"/>
  <c r="O11" i="1"/>
  <c r="N11" i="1"/>
  <c r="AN10" i="1"/>
  <c r="AM10" i="1"/>
  <c r="AF10" i="1" a="1"/>
  <c r="AF10" i="1"/>
  <c r="AE10" i="1"/>
  <c r="AD10" i="1" a="1"/>
  <c r="AD10" i="1"/>
  <c r="AC10" i="1" a="1"/>
  <c r="AC10" i="1"/>
  <c r="AB10" i="1" a="1"/>
  <c r="AB10" i="1"/>
  <c r="AA10" i="1" a="1"/>
  <c r="AA10" i="1"/>
  <c r="Z10" i="1" a="1"/>
  <c r="Z10" i="1"/>
  <c r="Y10" i="1" a="1"/>
  <c r="Y10" i="1"/>
  <c r="O10" i="1"/>
  <c r="AN9" i="1"/>
  <c r="AF9" i="1" a="1"/>
  <c r="AF9" i="1"/>
  <c r="AE9" i="1"/>
  <c r="AD9" i="1" a="1"/>
  <c r="AD9" i="1"/>
  <c r="AC9" i="1" a="1"/>
  <c r="AC9" i="1"/>
  <c r="AB9" i="1" a="1"/>
  <c r="AB9" i="1"/>
  <c r="AM9" i="1" s="1"/>
  <c r="AA9" i="1" a="1"/>
  <c r="AA9" i="1"/>
  <c r="Z9" i="1" a="1"/>
  <c r="Z9" i="1"/>
  <c r="Y9" i="1" a="1"/>
  <c r="Y9" i="1"/>
  <c r="O9" i="1"/>
  <c r="N9" i="1"/>
  <c r="M9" i="1"/>
  <c r="K9" i="1"/>
  <c r="AN8" i="1"/>
  <c r="AF8" i="1" a="1"/>
  <c r="AF8" i="1"/>
  <c r="AE8" i="1"/>
  <c r="AD8" i="1" a="1"/>
  <c r="AD8" i="1"/>
  <c r="AC8" i="1" a="1"/>
  <c r="AC8" i="1"/>
  <c r="AB8" i="1" a="1"/>
  <c r="AB8" i="1"/>
  <c r="AM8" i="1" s="1"/>
  <c r="AA8" i="1" a="1"/>
  <c r="AA8" i="1"/>
  <c r="Z8" i="1" a="1"/>
  <c r="Z8" i="1"/>
  <c r="Y8" i="1" a="1"/>
  <c r="Y8" i="1"/>
  <c r="O8" i="1"/>
  <c r="K8" i="1"/>
  <c r="AN7" i="1"/>
  <c r="AF7" i="1" a="1"/>
  <c r="AF7" i="1"/>
  <c r="AE7" i="1"/>
  <c r="AD7" i="1" a="1"/>
  <c r="AD7" i="1"/>
  <c r="AC7" i="1" a="1"/>
  <c r="AC7" i="1"/>
  <c r="AB7" i="1" a="1"/>
  <c r="AB7" i="1"/>
  <c r="AM7" i="1" s="1"/>
  <c r="AA7" i="1" a="1"/>
  <c r="AA7" i="1"/>
  <c r="Z7" i="1" a="1"/>
  <c r="Z7" i="1"/>
  <c r="Y7" i="1" a="1"/>
  <c r="Y7" i="1"/>
  <c r="O7" i="1"/>
  <c r="N7" i="1"/>
  <c r="M7" i="1"/>
  <c r="L7" i="1"/>
  <c r="K7" i="1"/>
  <c r="AN6" i="1"/>
  <c r="AM6" i="1"/>
  <c r="AF6" i="1" a="1"/>
  <c r="AF6" i="1"/>
  <c r="AE6" i="1"/>
  <c r="AD6" i="1" a="1"/>
  <c r="AD6" i="1"/>
  <c r="AC6" i="1" a="1"/>
  <c r="AC6" i="1"/>
  <c r="AB6" i="1" a="1"/>
  <c r="AB6" i="1"/>
  <c r="AA6" i="1" a="1"/>
  <c r="AA6" i="1"/>
  <c r="Z6" i="1" a="1"/>
  <c r="Z6" i="1"/>
  <c r="Y6" i="1" a="1"/>
  <c r="Y6" i="1"/>
  <c r="O6" i="1"/>
  <c r="N6" i="1"/>
  <c r="AN5" i="1"/>
  <c r="AM5" i="1"/>
  <c r="AF5" i="1" a="1"/>
  <c r="AF5" i="1"/>
  <c r="AE5" i="1"/>
  <c r="AD5" i="1" a="1"/>
  <c r="AD5" i="1"/>
  <c r="AC5" i="1" a="1"/>
  <c r="AC5" i="1"/>
  <c r="AB5" i="1" a="1"/>
  <c r="AB5" i="1"/>
  <c r="AA5" i="1" a="1"/>
  <c r="AA5" i="1"/>
  <c r="Z5" i="1" a="1"/>
  <c r="Z5" i="1"/>
  <c r="Y5" i="1" a="1"/>
  <c r="Y5" i="1"/>
  <c r="O5" i="1"/>
  <c r="N5" i="1"/>
  <c r="AN4" i="1"/>
  <c r="AF4" i="1" a="1"/>
  <c r="AF4" i="1"/>
  <c r="AE4" i="1"/>
  <c r="AD4" i="1" a="1"/>
  <c r="AD4" i="1"/>
  <c r="AC4" i="1" a="1"/>
  <c r="AC4" i="1"/>
  <c r="AB4" i="1" a="1"/>
  <c r="AB4" i="1"/>
  <c r="AM4" i="1" s="1"/>
  <c r="AA4" i="1" a="1"/>
  <c r="AA4" i="1"/>
  <c r="Z4" i="1" a="1"/>
  <c r="Z4" i="1"/>
  <c r="Y4" i="1" a="1"/>
  <c r="Y4" i="1"/>
  <c r="O4" i="1"/>
  <c r="N4" i="1"/>
  <c r="AN3" i="1"/>
  <c r="AF3" i="1" a="1"/>
  <c r="AF3" i="1"/>
  <c r="AE3" i="1"/>
  <c r="AD3" i="1" a="1"/>
  <c r="AD3" i="1"/>
  <c r="AC3" i="1" a="1"/>
  <c r="AC3" i="1"/>
  <c r="AB3" i="1" a="1"/>
  <c r="AB3" i="1"/>
  <c r="AM3" i="1" s="1"/>
  <c r="AA3" i="1" a="1"/>
  <c r="AA3" i="1"/>
  <c r="Z3" i="1" a="1"/>
  <c r="Z3" i="1"/>
  <c r="Y3" i="1" a="1"/>
  <c r="Y3" i="1"/>
  <c r="O3" i="1"/>
  <c r="N3" i="1"/>
  <c r="AN2" i="1"/>
  <c r="AF2" i="1" a="1"/>
  <c r="AF2" i="1"/>
  <c r="AE2" i="1"/>
  <c r="AD2" i="1" a="1"/>
  <c r="AD2" i="1"/>
  <c r="AC2" i="1" a="1"/>
  <c r="AC2" i="1"/>
  <c r="AB2" i="1" a="1"/>
  <c r="AB2" i="1"/>
  <c r="AM2" i="1" s="1"/>
  <c r="AA2" i="1" a="1"/>
  <c r="AA2" i="1"/>
  <c r="Z2" i="1" a="1"/>
  <c r="Z2" i="1"/>
  <c r="Y2" i="1" a="1"/>
  <c r="Y2" i="1"/>
  <c r="O2" i="1"/>
  <c r="N2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S1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T1" authorId="0" shapeId="0" xr:uid="{00000000-0006-0000-00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000-000003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预测单列表中批量投产日期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V1" authorId="0" shapeId="0" xr:uid="{00000000-0006-0000-0000-000004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成品库有一定库存可以上市日期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W1" authorId="0" shapeId="0" xr:uid="{00000000-0006-0000-0000-000005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上市通知发布日期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C1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sharedStrings.xml><?xml version="1.0" encoding="utf-8"?>
<sst xmlns="http://schemas.openxmlformats.org/spreadsheetml/2006/main" count="1063" uniqueCount="351">
  <si>
    <t>序号</t>
  </si>
  <si>
    <t>系列</t>
  </si>
  <si>
    <t>编码</t>
  </si>
  <si>
    <t>图号</t>
  </si>
  <si>
    <t>名称</t>
  </si>
  <si>
    <t>型号</t>
  </si>
  <si>
    <t>款数</t>
  </si>
  <si>
    <t>替代编码</t>
  </si>
  <si>
    <t>替代型号</t>
  </si>
  <si>
    <t>送检开始计划</t>
  </si>
  <si>
    <t>送检结束（获检验报告）计划</t>
  </si>
  <si>
    <t>中试开始计划</t>
  </si>
  <si>
    <t>中试结束计划</t>
  </si>
  <si>
    <t>批产开始计划</t>
  </si>
  <si>
    <t>批产结束计划</t>
  </si>
  <si>
    <t>上市
计划</t>
  </si>
  <si>
    <t>送检开始
实际</t>
  </si>
  <si>
    <t>送检结束（获检验报告）
实际</t>
  </si>
  <si>
    <t>中试开始
实际</t>
  </si>
  <si>
    <t>中试结束
实际</t>
  </si>
  <si>
    <t>批产开始
实际</t>
  </si>
  <si>
    <t>批产结束
实际</t>
  </si>
  <si>
    <t>上市
实际</t>
  </si>
  <si>
    <t>获证实际</t>
  </si>
  <si>
    <t>送检开始监控</t>
  </si>
  <si>
    <t>送检结束监控</t>
  </si>
  <si>
    <t>中试开始监控</t>
  </si>
  <si>
    <t>中试结束监控</t>
  </si>
  <si>
    <t>批产开始监控</t>
  </si>
  <si>
    <t>批产结束监控</t>
  </si>
  <si>
    <t>获证状态</t>
  </si>
  <si>
    <t>上市状态</t>
  </si>
  <si>
    <t>项目状态</t>
  </si>
  <si>
    <t>监控标记
（0取消监控）</t>
  </si>
  <si>
    <t>备注</t>
  </si>
  <si>
    <t>产品复杂度</t>
  </si>
  <si>
    <t>负责人</t>
  </si>
  <si>
    <t>开发方式</t>
  </si>
  <si>
    <t>产品当前阶段/状态</t>
  </si>
  <si>
    <t>按计划下一步推进节点</t>
  </si>
  <si>
    <t>新标实施日期</t>
  </si>
  <si>
    <t>过渡期截至
（证书自动失效日期）</t>
  </si>
  <si>
    <t>工业消防</t>
  </si>
  <si>
    <t>线型光束感烟火灾探测器（中科永安项目）</t>
  </si>
  <si>
    <t>JTY-VFD/SF-EI201(12mm)</t>
  </si>
  <si>
    <t>-</t>
  </si>
  <si>
    <t>完成</t>
  </si>
  <si>
    <t>低</t>
  </si>
  <si>
    <t>靳超</t>
  </si>
  <si>
    <t>合作</t>
  </si>
  <si>
    <t>图像型火焰探测器（中科永安项目）</t>
  </si>
  <si>
    <t>VFD/SF-EI101(4mm)</t>
  </si>
  <si>
    <t>VFD/SF-EI101(6mm)</t>
  </si>
  <si>
    <t>VFD/SF-EI101(8mm)</t>
  </si>
  <si>
    <t>VFD/SF-EI101(12mm)</t>
  </si>
  <si>
    <t>火灾报警</t>
  </si>
  <si>
    <t>点型光电感烟火灾探测器（本安型）</t>
  </si>
  <si>
    <t>JTY-GD-EI9012Ex</t>
  </si>
  <si>
    <t>JTY-GD-EI8017Ex</t>
  </si>
  <si>
    <t>崔景贺</t>
  </si>
  <si>
    <t>自研</t>
  </si>
  <si>
    <t>气体灭火装置</t>
  </si>
  <si>
    <t>能美项目</t>
  </si>
  <si>
    <t>气体灭火装置（90、120、150）</t>
  </si>
  <si>
    <t>赵朕波</t>
  </si>
  <si>
    <t>线型光束感烟火灾探测器</t>
  </si>
  <si>
    <t>JTY-HM-EI9019</t>
  </si>
  <si>
    <t>JTY-HM-EI8019</t>
  </si>
  <si>
    <t>未完成</t>
  </si>
  <si>
    <t>高</t>
  </si>
  <si>
    <t>韩振飞</t>
  </si>
  <si>
    <t>无线中继模块</t>
  </si>
  <si>
    <t>J-EI9037W</t>
  </si>
  <si>
    <t>J-EI8037W</t>
  </si>
  <si>
    <t>设计变更未归档/4月8日归档</t>
  </si>
  <si>
    <t>胡明宇</t>
  </si>
  <si>
    <t>点型红外火焰探测器（中科永安项目）</t>
  </si>
  <si>
    <t>JTG-IR3-EI301Ex</t>
  </si>
  <si>
    <t>特种消防</t>
  </si>
  <si>
    <t>10101455/
10102008</t>
  </si>
  <si>
    <t>地铁FAS系统点型光电感烟火灾探测器</t>
  </si>
  <si>
    <t>JTY-GD-EIN12/A</t>
  </si>
  <si>
    <t>地铁FAS系统手动火灾报警按钮</t>
  </si>
  <si>
    <t>J-SAP-EIN21</t>
  </si>
  <si>
    <t>胡双寒</t>
  </si>
  <si>
    <t>地铁FAS系统消火栓按钮</t>
  </si>
  <si>
    <t>J-SAP-EIN24</t>
  </si>
  <si>
    <t>地铁FAS系统输入模块</t>
  </si>
  <si>
    <t>J-EIN30</t>
  </si>
  <si>
    <t>潘荣誉</t>
  </si>
  <si>
    <t>地铁FAS系统中继模块</t>
  </si>
  <si>
    <t>J-EIN32</t>
  </si>
  <si>
    <t>地铁FAS系统输入/输出模块</t>
  </si>
  <si>
    <t>J-EIN41</t>
  </si>
  <si>
    <t>J-EIN43</t>
  </si>
  <si>
    <t>地铁FAS系统火灾声光警报器</t>
  </si>
  <si>
    <t>J-EIN85</t>
  </si>
  <si>
    <t>纪鹏飞</t>
  </si>
  <si>
    <t>智能疏散</t>
  </si>
  <si>
    <t>应急照明集中电源（新标）</t>
  </si>
  <si>
    <t>EI-D-AC(0.5kVA)-T1L01</t>
  </si>
  <si>
    <t>敖翔</t>
  </si>
  <si>
    <t>点型感温火灾探测器</t>
  </si>
  <si>
    <t>JTW-ZCD-EI9011（新标）</t>
  </si>
  <si>
    <t>马洪驰</t>
  </si>
  <si>
    <t>手动报警按钮</t>
  </si>
  <si>
    <t>J-SAP-EI9021/J-SAP-EI9021A（新标）</t>
  </si>
  <si>
    <t>10400363/10401068</t>
  </si>
  <si>
    <t>EI-C-8602/EI-C-8602L</t>
  </si>
  <si>
    <t>地铁FAS系统点型感温火灾探测器</t>
  </si>
  <si>
    <t>JTW-ZCD-EIN13</t>
  </si>
  <si>
    <t>点型感温火灾探测器（本安型）</t>
  </si>
  <si>
    <t>JTW-ZCD-EI9013Ex</t>
  </si>
  <si>
    <t>JTW-ZCD-EI8015Ex</t>
  </si>
  <si>
    <t>消防应急疏散标志灯具（防水）</t>
  </si>
  <si>
    <t>EI-BZ-ACJ(E2Ⅰ)-H等</t>
  </si>
  <si>
    <t>王旭东</t>
  </si>
  <si>
    <t>地铁FAS系统控制器</t>
  </si>
  <si>
    <t>JB-TBL-EIN98</t>
  </si>
  <si>
    <t>庞传道</t>
  </si>
  <si>
    <t>点型红/紫外火焰探测器（中科永安项目）</t>
  </si>
  <si>
    <t>JTG-IR2U-EI301Ex</t>
  </si>
  <si>
    <t>2025/8/30送检失败</t>
  </si>
  <si>
    <t>JTG-IR3U-EI301Ex</t>
  </si>
  <si>
    <t>图像型火灾探测器/热成像火灾探测器（中科永安项目）</t>
  </si>
  <si>
    <t>VFD/SFH-EI102Ex(12mm)</t>
  </si>
  <si>
    <t>证书延续</t>
  </si>
  <si>
    <t>火灾声光警报器</t>
  </si>
  <si>
    <t>J-EI9085IP</t>
  </si>
  <si>
    <t>J-EI8085Ex型</t>
  </si>
  <si>
    <t>2025/12/12第一次送检失败</t>
  </si>
  <si>
    <t>火灾报警控制器</t>
  </si>
  <si>
    <t>JB-QBL-EI9000N</t>
  </si>
  <si>
    <t>王诗豪：中试计划研发延后到4月中旬</t>
  </si>
  <si>
    <t>王诗豪</t>
  </si>
  <si>
    <t>4.2MPa外贮压管网式七氟丙烷灭火装置</t>
  </si>
  <si>
    <t>QMQ5.3/90W-EI
120，150，180型号</t>
  </si>
  <si>
    <t>手动报警按钮（本安型）</t>
  </si>
  <si>
    <t>J-SAP-EI9021Ex</t>
  </si>
  <si>
    <t>J-SAP-EI8021Ex</t>
  </si>
  <si>
    <t>⚠️</t>
  </si>
  <si>
    <t>消火栓按钮（本安型）</t>
  </si>
  <si>
    <t>J-SAP-EI9024Ex</t>
  </si>
  <si>
    <t>J-SAP-EI8024Ex</t>
  </si>
  <si>
    <t>2026.5.18</t>
  </si>
  <si>
    <t>10102045
10102046
10102037
10102038
10102039</t>
  </si>
  <si>
    <t>NX火灾报警控制器/消防联动控制器
NX火灾报警控制器/气体灭火控制器
NX点型光电感烟火灾探测器
NX点型感温火灾探测器（A2R）
NX手动火灾报警按钮</t>
  </si>
  <si>
    <t>JB-TGL-M-NX8800Z
JB-QB-M-NX8901
JTY-GD-M-NX8831
JTW-BD-M-NX8832
J-SAP-M-NX8841</t>
  </si>
  <si>
    <t>吴高红</t>
  </si>
  <si>
    <t>参考对应产品</t>
  </si>
  <si>
    <t>消防应急疏散标志灯具（防爆）</t>
  </si>
  <si>
    <t>EI-BZ-ACJ(E1ⅡL/R)-C1-Ex等</t>
  </si>
  <si>
    <t>杨姜</t>
  </si>
  <si>
    <t>地铁FAS系统火灾显示盘</t>
  </si>
  <si>
    <t>J-EIN52</t>
  </si>
  <si>
    <t>消防应急疏散照明灯具（防水）</t>
  </si>
  <si>
    <t>EI-ZM-ACJ(FE)-AD10XF</t>
  </si>
  <si>
    <t>EI-ZM-ACJ(FE)-AD10XFL</t>
  </si>
  <si>
    <t>消防应急疏散标志灯具（短款、降本）</t>
  </si>
  <si>
    <t>EI-BZ-ACJ(E1Ⅰ)-A1</t>
  </si>
  <si>
    <t>EI-BZ-ACJ(E2Ⅰ)-A1</t>
  </si>
  <si>
    <t>手动火灾报警按钮（新标、隔爆）</t>
  </si>
  <si>
    <t>J-SAB-EI8025Ex</t>
  </si>
  <si>
    <t>按新国标送检，型号不变,壳体满足新国标，要变更已开模</t>
  </si>
  <si>
    <t>EI-D-AC(0.6kVA)-T1Q01</t>
  </si>
  <si>
    <t>郑光廷</t>
  </si>
  <si>
    <t>无线感烟火灾探测器（9014w有3C认证）</t>
  </si>
  <si>
    <t>JTY-GD-EI9014W（有3c认证）</t>
  </si>
  <si>
    <t>JTY-GD-EI8010W</t>
  </si>
  <si>
    <t>5月13日，计划变更1次</t>
  </si>
  <si>
    <t>葛士辉</t>
  </si>
  <si>
    <t>BEAM DETECTOR线型光束感烟火灾探测器（LPCB项目）</t>
  </si>
  <si>
    <t>EI-N9019</t>
  </si>
  <si>
    <t>输入/输出模块</t>
  </si>
  <si>
    <t>J-EI9062</t>
  </si>
  <si>
    <t>J-EI6062D</t>
  </si>
  <si>
    <t>应急照明控制器（新标）</t>
  </si>
  <si>
    <t>EI-C-Q-A02</t>
  </si>
  <si>
    <t>EI-C-8602L</t>
  </si>
  <si>
    <t>独立式感烟火灾报警器</t>
  </si>
  <si>
    <t>JTY-GD-EI9014G</t>
  </si>
  <si>
    <t>JTY-GD-EI9014(4G)</t>
  </si>
  <si>
    <t>李威</t>
  </si>
  <si>
    <t>无线点型感温火灾探测器</t>
  </si>
  <si>
    <t>JTW-ZCD-EI9011W</t>
  </si>
  <si>
    <t>JTW-ZCD-EI8011W</t>
  </si>
  <si>
    <t>无线手动火灾报警按钮</t>
  </si>
  <si>
    <t>J-SAP-EI9021W</t>
  </si>
  <si>
    <t>J-SAP-EI8021W</t>
  </si>
  <si>
    <t>Addressable Smoke Detector（LPCB项目）</t>
  </si>
  <si>
    <t>EI-N9012</t>
  </si>
  <si>
    <t>Addressable Heat Detector（LPCB项目）</t>
  </si>
  <si>
    <t>EI-N9013</t>
  </si>
  <si>
    <t>Addressable Manual Call Point（LPCB项目）</t>
  </si>
  <si>
    <t>EI-N9021</t>
  </si>
  <si>
    <t>Addressable Sounder Strobe（LPCB项目）</t>
  </si>
  <si>
    <t>EI-N9085</t>
  </si>
  <si>
    <t>Addressable Input Module（LPCB项目）</t>
  </si>
  <si>
    <t>EI-N9030</t>
  </si>
  <si>
    <t>Addressable Input/output Module（LPCB项目）</t>
  </si>
  <si>
    <t>EI-N9041</t>
  </si>
  <si>
    <t>EI-N9043</t>
  </si>
  <si>
    <t>Addressable Fire Alarm Control Panel（LPCB项目）</t>
  </si>
  <si>
    <t>EI-P9001</t>
  </si>
  <si>
    <t>王胜</t>
  </si>
  <si>
    <t>柜式七氟丙烷气体灭火装置</t>
  </si>
  <si>
    <t>GQQ-X</t>
  </si>
  <si>
    <t>11002464
11002465
11002462
11002462</t>
  </si>
  <si>
    <t>95系列电压/电流信号传感器（新）</t>
  </si>
  <si>
    <t>J-EI9514/J-EI9512I/J-EI9532/J-EI9532I</t>
  </si>
  <si>
    <t>11000099
11000098
11000096
11000097</t>
  </si>
  <si>
    <t>J-EI9514/J-EI9512I/J-EI9532/J-EI9532I
（型号不变）</t>
  </si>
  <si>
    <t>靳超/吴高红</t>
  </si>
  <si>
    <t>家用可燃气体探测器</t>
  </si>
  <si>
    <t>JT-EIH98</t>
  </si>
  <si>
    <t>赵通</t>
  </si>
  <si>
    <t>消防控制室图形显示装置</t>
  </si>
  <si>
    <t>EI-N94</t>
  </si>
  <si>
    <t>定位高端款（鸿蒙系统），替代EI-8402、8402A，
和EI-9400共存</t>
  </si>
  <si>
    <t>唐文杰</t>
  </si>
  <si>
    <t>JTG-IR3-EI302Ex点型红外火焰探测器</t>
  </si>
  <si>
    <t>JTG-IR3-EI302Ex（替代中科永安款）</t>
  </si>
  <si>
    <t>待评审（涉及7月新标发布），替代中科永安，送检时间按实际受理时间定</t>
  </si>
  <si>
    <t>杨大雨</t>
  </si>
  <si>
    <t>JTG-IR2U-EI303Ex点型红外火焰探测器</t>
  </si>
  <si>
    <t>JTG-IR2U-EI303Ex（替代中科永安款）</t>
  </si>
  <si>
    <t>JTG-IR3U-EI304Ex点型红外火焰探测器</t>
  </si>
  <si>
    <t>JTG-IR3U-EI304Ex（替代中科永安款）</t>
  </si>
  <si>
    <t>JTG-IR3U-EI301EX</t>
  </si>
  <si>
    <t>Ⅲ型标志灯具</t>
  </si>
  <si>
    <t>EI-BZ-ACJ(E2ⅢL/R)-C等</t>
  </si>
  <si>
    <t>Ⅰ型水晶吊牌标志灯具</t>
  </si>
  <si>
    <t>EI-BZ-ACJ(E 1Ⅰ)-A2等</t>
  </si>
  <si>
    <t>独立式光电感烟火灾探测报警器</t>
  </si>
  <si>
    <t>JTY-GD-EI9014</t>
  </si>
  <si>
    <t>JTY-GD-EI8014S</t>
  </si>
  <si>
    <t>送检调后15天，原定为5月15日</t>
  </si>
  <si>
    <t>工业及商业用途点型可燃气体探测器　</t>
  </si>
  <si>
    <t>暂定GT-EI9812Ex</t>
  </si>
  <si>
    <t>GT-EI8812Ex</t>
  </si>
  <si>
    <t>新标2027年8月1日实施</t>
  </si>
  <si>
    <t>史文涛</t>
  </si>
  <si>
    <t>四合一储能控制器</t>
  </si>
  <si>
    <t>EI-C-Ⅱ-ES9100</t>
  </si>
  <si>
    <t>方宜海</t>
  </si>
  <si>
    <t>应急疏散</t>
  </si>
  <si>
    <t>应急照明集中电源（降本款1KV）</t>
  </si>
  <si>
    <t>EI-D-AC(1kVA)-T1Q02</t>
  </si>
  <si>
    <t>EI-D-AC(1kVA)-T1Q01</t>
  </si>
  <si>
    <t>输入输出模块（隔爆）</t>
  </si>
  <si>
    <t>J-EI9042Ex</t>
  </si>
  <si>
    <t>陈煦</t>
  </si>
  <si>
    <t>点型感温火灾探测器（隔爆）</t>
  </si>
  <si>
    <t>JTW-ZCD-EI9015Ex</t>
  </si>
  <si>
    <t>隔板爆座是替换8008EX</t>
  </si>
  <si>
    <t>7月份隔爆送检，8月沈阳送检</t>
  </si>
  <si>
    <t>点型光电感烟火灾探测器（隔爆）</t>
  </si>
  <si>
    <t>JTY-GD-EI9017Ex</t>
  </si>
  <si>
    <t>无线点型光电感烟火灾探测器（9010w无3C认证）</t>
  </si>
  <si>
    <t>JTY-GD-EI9010W（无3C认证）</t>
  </si>
  <si>
    <t>用户信息传输装置</t>
  </si>
  <si>
    <t>EI-RN9020</t>
  </si>
  <si>
    <t>自动跟踪定位射流灭火装置（新标）</t>
  </si>
  <si>
    <t>ZDMS0.6/5S/ZH/TH-E130
ZDMS0.6/10S/ZH/TH-E135
 ZDMP0.8/20S/ZH/TH-E150
ZDMP0.8/30S/ZH/TH-E155</t>
  </si>
  <si>
    <t>ZDMS0.6/5S-E130
ZDMS0.6/10S-E135
ZDMS0.8/20S-E150
ZDMS0.8/30S-E155</t>
  </si>
  <si>
    <t>肖相磊</t>
  </si>
  <si>
    <t>G-EI9812Ex</t>
  </si>
  <si>
    <t>以沈消所开始受理时间为准</t>
  </si>
  <si>
    <t>光电式住宅火灾报警控制器
定温式住宅火灾报警控制器</t>
  </si>
  <si>
    <t>CM-RD973
CM-RD950</t>
  </si>
  <si>
    <t>接口模块</t>
  </si>
  <si>
    <t>J-EI8653A</t>
  </si>
  <si>
    <t>J-EI8653</t>
  </si>
  <si>
    <t>批产、上市与否战略运营部决定</t>
  </si>
  <si>
    <t>张地</t>
  </si>
  <si>
    <t>无线收发装置</t>
  </si>
  <si>
    <t>J-EI9037</t>
  </si>
  <si>
    <t>10600055/10600058</t>
  </si>
  <si>
    <t>J-EI8037A/B</t>
  </si>
  <si>
    <t>郭腾龙</t>
  </si>
  <si>
    <t>暂定JT-EI9810</t>
  </si>
  <si>
    <t>JT-EI8810N</t>
  </si>
  <si>
    <t>紧急启停按钮</t>
  </si>
  <si>
    <t>J-E19066</t>
  </si>
  <si>
    <t>不送检</t>
  </si>
  <si>
    <t>/</t>
  </si>
  <si>
    <t>新品无标准，按定制走</t>
  </si>
  <si>
    <t>俄文定制项目</t>
  </si>
  <si>
    <t>NX项目第二批</t>
  </si>
  <si>
    <t>待定</t>
  </si>
  <si>
    <t>吸气式感烟火灾探测器</t>
  </si>
  <si>
    <t>暂无</t>
  </si>
  <si>
    <t>10101212
10101213
11200327
11200328</t>
  </si>
  <si>
    <t>JTY- GX- EI8922/8924/8922N/8924N</t>
  </si>
  <si>
    <t>李奥运</t>
  </si>
  <si>
    <t>安全栅</t>
  </si>
  <si>
    <t>EI2003</t>
  </si>
  <si>
    <t xml:space="preserve"> </t>
  </si>
  <si>
    <t>俄文版8019ex</t>
  </si>
  <si>
    <t>定制</t>
  </si>
  <si>
    <t>葛波涛</t>
  </si>
  <si>
    <t>消火栓按钮（隔爆）</t>
  </si>
  <si>
    <t>J-SAB-EI9022Ex</t>
  </si>
  <si>
    <t>J-SAB-EI8022Ex</t>
  </si>
  <si>
    <t>手动火灾报警按钮（隔爆）</t>
  </si>
  <si>
    <t>J-SAB-EI9025Ex</t>
  </si>
  <si>
    <t>防爆应急照明集中电源</t>
  </si>
  <si>
    <t>EI-D-AC(0.5kVA)-T1Q02-EX
EI-D-AC(0.3kVA)-T1Q02-EX</t>
  </si>
  <si>
    <t>计划数量</t>
  </si>
  <si>
    <t>研发归档计划</t>
  </si>
  <si>
    <t>物料齐套时间计划</t>
  </si>
  <si>
    <t>中试治具完成计划</t>
  </si>
  <si>
    <t>中试结束（生产）计划</t>
  </si>
  <si>
    <t>研发归档硬件实际
（薛涵月-档案室）</t>
  </si>
  <si>
    <t>研发归档软件实际
（OA流程）</t>
  </si>
  <si>
    <t>研发归档是否齐套</t>
  </si>
  <si>
    <t>物料是否实际齐套</t>
  </si>
  <si>
    <t>物料齐套备注</t>
  </si>
  <si>
    <t>中试治具完成实际
（邵部长-工艺）</t>
  </si>
  <si>
    <t>中试生产是否完成
（孙登琨-生产计划）</t>
  </si>
  <si>
    <t>实际中试数量</t>
  </si>
  <si>
    <t>中试评审时间实际
（姜雨豪-研发管理）</t>
  </si>
  <si>
    <t>中试结论
（王国燕/郭嘉-项目计划）</t>
  </si>
  <si>
    <t>中试结论后跟踪问题简述</t>
  </si>
  <si>
    <t>解决时间节点（计划）</t>
  </si>
  <si>
    <t>中试闭环实际
（郭嘉跟踪中试问题闭环）</t>
  </si>
  <si>
    <t>产品负责人</t>
  </si>
  <si>
    <t>无线感烟火灾探测器</t>
  </si>
  <si>
    <t>JTY-GD-EI9014W</t>
  </si>
  <si>
    <t>预计5月30日归档，研发拟变更中试节点，延后1个月
（自动化校准烟箱5月11号才到，测试协议估计得到月底才能测完），预计中试延期一周。另，检验报告预计7月才出来，研发需关注（已提醒张部长）</t>
  </si>
  <si>
    <t>否</t>
  </si>
  <si>
    <t>是</t>
  </si>
  <si>
    <t>通过</t>
  </si>
  <si>
    <t>预计：7月，受送检进度影响，整体延后1个月</t>
  </si>
  <si>
    <t>预计：6月15日，研发拟变更中试节点，延后1个月
检验报告预计7月才出来，研发需关注（已提醒张部长）</t>
  </si>
  <si>
    <t>外协中试</t>
  </si>
  <si>
    <t>已入库发外协</t>
  </si>
  <si>
    <t>预计：5月16日</t>
  </si>
  <si>
    <t>有待验证</t>
  </si>
  <si>
    <t>做治具，延后1周</t>
  </si>
  <si>
    <t>待获证</t>
  </si>
  <si>
    <t>9019中试时候干了100个（计划总量1000个）这周只有400套料，软件变更5月13日归档。5月16日，完成500套，剩余500套电路板，建议下周排产做完</t>
  </si>
  <si>
    <t>软件在下周三前归档，中试过的也返工后再入库</t>
  </si>
  <si>
    <t>5月13日完成归档</t>
  </si>
  <si>
    <t>结构件已齐套，电路板程序有问题待调试，本周生产50套，解决供货；</t>
  </si>
  <si>
    <t>N98电源还没到采购，预计5月15日电路板调试，上线生产</t>
  </si>
  <si>
    <t>100-500</t>
  </si>
  <si>
    <t>H系列防水灯现在只来了三个单向型号的半成品</t>
  </si>
  <si>
    <t>打孔验证</t>
  </si>
  <si>
    <t>F0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</si>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</sst>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1">
    <font>
      <sz val="12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0"/>
      <color theme="1"/>
      <name val="宋体"/>
      <family val="3"/>
      <charset val="134"/>
    </font>
    <font>
      <b/>
      <sz val="12"/>
      <color theme="1"/>
      <name val="等线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C07E9"/>
      <name val="宋体"/>
      <family val="3"/>
      <charset val="134"/>
    </font>
    <font>
      <sz val="11"/>
      <color rgb="FFE97132"/>
      <name val="Arial"/>
      <family val="2"/>
    </font>
    <font>
      <sz val="11"/>
      <color rgb="FFE9713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rgb="FF0C07E9"/>
      <name val="宋体"/>
      <family val="3"/>
      <charset val="134"/>
    </font>
    <font>
      <b/>
      <sz val="10"/>
      <color rgb="FF0C07E9"/>
      <name val="宋体"/>
      <family val="3"/>
      <charset val="134"/>
    </font>
    <font>
      <sz val="10"/>
      <color rgb="FFE97132"/>
      <name val="Arial"/>
      <family val="2"/>
    </font>
    <font>
      <sz val="11"/>
      <color rgb="FFE97132"/>
      <name val="宋体"/>
      <family val="3"/>
      <charset val="134"/>
    </font>
    <font>
      <sz val="11"/>
      <color rgb="FF000000"/>
      <name val="Segoe UI Emoji"/>
      <family val="2"/>
    </font>
    <font>
      <sz val="11"/>
      <color theme="1"/>
      <name val="宋体"/>
      <family val="3"/>
      <charset val="134"/>
    </font>
    <font>
      <sz val="14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5"/>
      <name val="Arial"/>
      <family val="2"/>
    </font>
    <font>
      <sz val="11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7070223090304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45B0E1"/>
      </bottom>
      <diagonal/>
    </border>
    <border>
      <left style="thin">
        <color rgb="FF000000"/>
      </left>
      <right style="double">
        <color rgb="FFFF0000"/>
      </right>
      <top style="thin">
        <color rgb="FF9DC3E6"/>
      </top>
      <bottom style="thin">
        <color rgb="FF000000"/>
      </bottom>
      <diagonal/>
    </border>
    <border>
      <left/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/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5" borderId="0" xfId="0" applyFont="1" applyFill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>
      <alignment vertical="center"/>
    </xf>
    <xf numFmtId="14" fontId="12" fillId="0" borderId="6" xfId="0" applyNumberFormat="1" applyFont="1" applyBorder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4" fontId="2" fillId="7" borderId="12" xfId="0" applyNumberFormat="1" applyFont="1" applyFill="1" applyBorder="1" applyAlignment="1">
      <alignment horizontal="center" vertical="center" wrapText="1"/>
    </xf>
    <xf numFmtId="14" fontId="3" fillId="7" borderId="12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78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 wrapText="1"/>
    </xf>
    <xf numFmtId="14" fontId="13" fillId="4" borderId="12" xfId="0" applyNumberFormat="1" applyFont="1" applyFill="1" applyBorder="1" applyAlignment="1">
      <alignment horizontal="center" vertical="center" wrapText="1"/>
    </xf>
    <xf numFmtId="14" fontId="13" fillId="4" borderId="15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7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center" vertical="center"/>
    </xf>
    <xf numFmtId="14" fontId="5" fillId="8" borderId="12" xfId="0" applyNumberFormat="1" applyFont="1" applyFill="1" applyBorder="1" applyAlignment="1">
      <alignment horizontal="center" vertical="center" wrapText="1"/>
    </xf>
    <xf numFmtId="14" fontId="13" fillId="8" borderId="12" xfId="0" applyNumberFormat="1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12" xfId="0" applyNumberFormat="1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left" vertical="center" wrapText="1"/>
    </xf>
    <xf numFmtId="178" fontId="5" fillId="10" borderId="12" xfId="0" applyNumberFormat="1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14" fontId="5" fillId="10" borderId="12" xfId="0" applyNumberFormat="1" applyFont="1" applyFill="1" applyBorder="1" applyAlignment="1">
      <alignment horizontal="center" vertical="center" wrapText="1"/>
    </xf>
    <xf numFmtId="14" fontId="5" fillId="8" borderId="12" xfId="0" applyNumberFormat="1" applyFont="1" applyFill="1" applyBorder="1" applyAlignment="1">
      <alignment horizontal="center" vertical="center"/>
    </xf>
    <xf numFmtId="14" fontId="5" fillId="8" borderId="2" xfId="0" applyNumberFormat="1" applyFont="1" applyFill="1" applyBorder="1" applyAlignment="1">
      <alignment horizontal="center" vertical="center" wrapText="1"/>
    </xf>
    <xf numFmtId="14" fontId="5" fillId="8" borderId="12" xfId="0" applyNumberFormat="1" applyFont="1" applyFill="1" applyBorder="1">
      <alignment vertical="center"/>
    </xf>
    <xf numFmtId="0" fontId="5" fillId="9" borderId="12" xfId="0" applyFont="1" applyFill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14" fontId="17" fillId="0" borderId="12" xfId="0" applyNumberFormat="1" applyFont="1" applyBorder="1" applyAlignment="1">
      <alignment horizontal="center" vertical="center" wrapText="1"/>
    </xf>
    <xf numFmtId="178" fontId="5" fillId="8" borderId="12" xfId="0" applyNumberFormat="1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vertical="center" wrapText="1"/>
    </xf>
    <xf numFmtId="14" fontId="18" fillId="0" borderId="12" xfId="0" applyNumberFormat="1" applyFont="1" applyBorder="1" applyAlignment="1">
      <alignment horizontal="center" vertical="center" wrapText="1"/>
    </xf>
    <xf numFmtId="14" fontId="5" fillId="11" borderId="12" xfId="0" applyNumberFormat="1" applyFont="1" applyFill="1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58" fontId="5" fillId="0" borderId="12" xfId="0" applyNumberFormat="1" applyFont="1" applyBorder="1" applyAlignment="1">
      <alignment horizontal="center" vertical="center" wrapText="1"/>
    </xf>
    <xf numFmtId="0" fontId="5" fillId="10" borderId="12" xfId="0" applyFont="1" applyFill="1" applyBorder="1">
      <alignment vertical="center"/>
    </xf>
    <xf numFmtId="0" fontId="4" fillId="0" borderId="12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14" fontId="5" fillId="12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left" vertical="center" wrapText="1"/>
    </xf>
    <xf numFmtId="178" fontId="5" fillId="4" borderId="12" xfId="0" applyNumberFormat="1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17" fillId="0" borderId="12" xfId="0" applyFont="1" applyBorder="1">
      <alignment vertical="center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 vertical="center" wrapText="1"/>
    </xf>
    <xf numFmtId="178" fontId="5" fillId="13" borderId="12" xfId="0" applyNumberFormat="1" applyFont="1" applyFill="1" applyBorder="1" applyAlignment="1">
      <alignment horizontal="center" vertical="center" wrapText="1"/>
    </xf>
    <xf numFmtId="14" fontId="5" fillId="13" borderId="12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5" fillId="8" borderId="12" xfId="0" applyNumberFormat="1" applyFont="1" applyFill="1" applyBorder="1" applyAlignment="1">
      <alignment horizontal="left" vertical="center" wrapText="1"/>
    </xf>
    <xf numFmtId="14" fontId="13" fillId="11" borderId="12" xfId="0" applyNumberFormat="1" applyFont="1" applyFill="1" applyBorder="1" applyAlignment="1">
      <alignment horizontal="center" vertical="center" wrapText="1"/>
    </xf>
    <xf numFmtId="0" fontId="5" fillId="8" borderId="12" xfId="0" applyFont="1" applyFill="1" applyBorder="1">
      <alignment vertical="center"/>
    </xf>
    <xf numFmtId="0" fontId="22" fillId="0" borderId="0" xfId="0" applyFont="1">
      <alignment vertical="center"/>
    </xf>
    <xf numFmtId="14" fontId="4" fillId="8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14" fontId="5" fillId="4" borderId="12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left" vertical="center" wrapText="1"/>
    </xf>
    <xf numFmtId="0" fontId="23" fillId="4" borderId="12" xfId="0" applyFont="1" applyFill="1" applyBorder="1" applyAlignment="1">
      <alignment horizontal="left" vertical="center" wrapText="1"/>
    </xf>
    <xf numFmtId="14" fontId="5" fillId="0" borderId="12" xfId="0" applyNumberFormat="1" applyFont="1" applyBorder="1" applyAlignment="1">
      <alignment horizontal="left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14" fontId="13" fillId="4" borderId="14" xfId="0" applyNumberFormat="1" applyFont="1" applyFill="1" applyBorder="1" applyAlignment="1">
      <alignment horizontal="center" vertical="center" wrapText="1"/>
    </xf>
    <xf numFmtId="14" fontId="13" fillId="4" borderId="16" xfId="0" applyNumberFormat="1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178" fontId="5" fillId="0" borderId="12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14" fontId="24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14" fontId="23" fillId="0" borderId="12" xfId="0" applyNumberFormat="1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78" fontId="11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 wrapText="1"/>
    </xf>
    <xf numFmtId="0" fontId="26" fillId="0" borderId="12" xfId="0" applyFont="1" applyBorder="1">
      <alignment vertical="center"/>
    </xf>
    <xf numFmtId="0" fontId="27" fillId="0" borderId="12" xfId="0" applyFont="1" applyBorder="1" applyAlignment="1">
      <alignment horizontal="center" vertical="center"/>
    </xf>
    <xf numFmtId="0" fontId="11" fillId="0" borderId="13" xfId="0" applyFont="1" applyBorder="1">
      <alignment vertical="center"/>
    </xf>
    <xf numFmtId="14" fontId="28" fillId="0" borderId="12" xfId="0" applyNumberFormat="1" applyFont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>
      <alignment vertical="center"/>
    </xf>
    <xf numFmtId="0" fontId="5" fillId="8" borderId="12" xfId="0" applyFont="1" applyFill="1" applyBorder="1" applyAlignment="1">
      <alignment horizontal="left" vertical="center"/>
    </xf>
    <xf numFmtId="178" fontId="12" fillId="8" borderId="12" xfId="0" applyNumberFormat="1" applyFont="1" applyFill="1" applyBorder="1" applyAlignment="1">
      <alignment horizontal="center" vertical="center"/>
    </xf>
    <xf numFmtId="14" fontId="5" fillId="14" borderId="12" xfId="0" applyNumberFormat="1" applyFont="1" applyFill="1" applyBorder="1" applyAlignment="1">
      <alignment horizontal="center" vertical="center" wrapText="1"/>
    </xf>
    <xf numFmtId="14" fontId="13" fillId="11" borderId="15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178" fontId="12" fillId="0" borderId="1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2" xfId="0" applyFont="1" applyFill="1" applyBorder="1">
      <alignment vertical="center"/>
    </xf>
    <xf numFmtId="0" fontId="25" fillId="5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14" fontId="25" fillId="5" borderId="12" xfId="0" applyNumberFormat="1" applyFont="1" applyFill="1" applyBorder="1" applyAlignment="1">
      <alignment horizontal="center" vertical="center" wrapText="1"/>
    </xf>
    <xf numFmtId="14" fontId="25" fillId="5" borderId="12" xfId="0" applyNumberFormat="1" applyFont="1" applyFill="1" applyBorder="1" applyAlignment="1">
      <alignment horizontal="center" wrapText="1"/>
    </xf>
    <xf numFmtId="14" fontId="11" fillId="5" borderId="15" xfId="0" applyNumberFormat="1" applyFont="1" applyFill="1" applyBorder="1" applyAlignment="1">
      <alignment horizontal="center"/>
    </xf>
    <xf numFmtId="14" fontId="11" fillId="0" borderId="2" xfId="0" applyNumberFormat="1" applyFont="1" applyBorder="1" applyAlignment="1">
      <alignment horizontal="center" vertical="center"/>
    </xf>
    <xf numFmtId="0" fontId="26" fillId="5" borderId="12" xfId="0" applyFont="1" applyFill="1" applyBorder="1">
      <alignment vertical="center"/>
    </xf>
    <xf numFmtId="0" fontId="11" fillId="5" borderId="13" xfId="0" applyFont="1" applyFill="1" applyBorder="1">
      <alignment vertical="center"/>
    </xf>
    <xf numFmtId="14" fontId="28" fillId="5" borderId="12" xfId="0" applyNumberFormat="1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14" fontId="11" fillId="5" borderId="12" xfId="0" applyNumberFormat="1" applyFont="1" applyFill="1" applyBorder="1">
      <alignment vertical="center"/>
    </xf>
    <xf numFmtId="0" fontId="11" fillId="15" borderId="12" xfId="0" applyFont="1" applyFill="1" applyBorder="1" applyAlignment="1">
      <alignment horizontal="center" vertical="center"/>
    </xf>
    <xf numFmtId="0" fontId="11" fillId="15" borderId="12" xfId="0" applyFont="1" applyFill="1" applyBorder="1">
      <alignment vertical="center"/>
    </xf>
    <xf numFmtId="0" fontId="25" fillId="15" borderId="12" xfId="0" applyFont="1" applyFill="1" applyBorder="1" applyAlignment="1">
      <alignment horizontal="left" vertical="center"/>
    </xf>
    <xf numFmtId="0" fontId="25" fillId="16" borderId="12" xfId="0" applyFont="1" applyFill="1" applyBorder="1" applyAlignment="1">
      <alignment horizontal="left" vertical="center"/>
    </xf>
    <xf numFmtId="0" fontId="11" fillId="15" borderId="12" xfId="0" applyFont="1" applyFill="1" applyBorder="1" applyAlignment="1">
      <alignment horizontal="left" vertical="center"/>
    </xf>
    <xf numFmtId="0" fontId="11" fillId="15" borderId="12" xfId="0" applyFont="1" applyFill="1" applyBorder="1" applyAlignment="1">
      <alignment horizontal="center" vertical="center" wrapText="1"/>
    </xf>
    <xf numFmtId="0" fontId="25" fillId="15" borderId="12" xfId="0" applyFont="1" applyFill="1" applyBorder="1" applyAlignment="1">
      <alignment horizontal="center" vertical="center" wrapText="1"/>
    </xf>
    <xf numFmtId="14" fontId="25" fillId="15" borderId="12" xfId="0" applyNumberFormat="1" applyFont="1" applyFill="1" applyBorder="1" applyAlignment="1">
      <alignment horizontal="center" vertical="center" wrapText="1"/>
    </xf>
    <xf numFmtId="14" fontId="13" fillId="17" borderId="12" xfId="0" applyNumberFormat="1" applyFont="1" applyFill="1" applyBorder="1" applyAlignment="1">
      <alignment horizontal="center" vertical="center" wrapText="1"/>
    </xf>
    <xf numFmtId="14" fontId="13" fillId="18" borderId="12" xfId="0" applyNumberFormat="1" applyFont="1" applyFill="1" applyBorder="1" applyAlignment="1">
      <alignment horizontal="center" vertical="center" wrapText="1"/>
    </xf>
    <xf numFmtId="14" fontId="11" fillId="15" borderId="12" xfId="0" applyNumberFormat="1" applyFont="1" applyFill="1" applyBorder="1" applyAlignment="1">
      <alignment horizontal="center" vertical="center"/>
    </xf>
    <xf numFmtId="14" fontId="11" fillId="15" borderId="2" xfId="0" applyNumberFormat="1" applyFont="1" applyFill="1" applyBorder="1" applyAlignment="1">
      <alignment horizontal="center" vertical="center"/>
    </xf>
    <xf numFmtId="0" fontId="26" fillId="15" borderId="12" xfId="0" applyFont="1" applyFill="1" applyBorder="1">
      <alignment vertical="center"/>
    </xf>
    <xf numFmtId="0" fontId="11" fillId="0" borderId="13" xfId="0" applyFont="1" applyBorder="1" applyAlignment="1">
      <alignment horizontal="center" vertical="center" wrapText="1"/>
    </xf>
    <xf numFmtId="14" fontId="11" fillId="0" borderId="12" xfId="0" applyNumberFormat="1" applyFont="1" applyBorder="1">
      <alignment vertical="center"/>
    </xf>
    <xf numFmtId="0" fontId="5" fillId="4" borderId="14" xfId="0" applyFont="1" applyFill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178" fontId="5" fillId="4" borderId="14" xfId="0" applyNumberFormat="1" applyFont="1" applyFill="1" applyBorder="1" applyAlignment="1">
      <alignment horizontal="center" vertical="center" wrapText="1"/>
    </xf>
    <xf numFmtId="14" fontId="5" fillId="4" borderId="14" xfId="0" applyNumberFormat="1" applyFont="1" applyFill="1" applyBorder="1" applyAlignment="1">
      <alignment horizontal="center" vertical="center" wrapText="1"/>
    </xf>
    <xf numFmtId="14" fontId="5" fillId="4" borderId="14" xfId="0" applyNumberFormat="1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14" fontId="7" fillId="0" borderId="14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/>
    </xf>
    <xf numFmtId="0" fontId="11" fillId="16" borderId="12" xfId="0" applyFont="1" applyFill="1" applyBorder="1">
      <alignment vertical="center"/>
    </xf>
    <xf numFmtId="0" fontId="11" fillId="19" borderId="12" xfId="0" applyFont="1" applyFill="1" applyBorder="1" applyAlignment="1">
      <alignment horizontal="left" vertical="center"/>
    </xf>
    <xf numFmtId="0" fontId="11" fillId="19" borderId="12" xfId="0" applyFont="1" applyFill="1" applyBorder="1" applyAlignment="1">
      <alignment horizontal="center" vertical="center" wrapText="1"/>
    </xf>
    <xf numFmtId="0" fontId="25" fillId="19" borderId="12" xfId="0" applyFont="1" applyFill="1" applyBorder="1" applyAlignment="1">
      <alignment horizontal="center" vertical="center" wrapText="1"/>
    </xf>
    <xf numFmtId="14" fontId="25" fillId="19" borderId="12" xfId="0" applyNumberFormat="1" applyFont="1" applyFill="1" applyBorder="1" applyAlignment="1">
      <alignment horizontal="center" vertical="center" wrapText="1"/>
    </xf>
    <xf numFmtId="14" fontId="11" fillId="19" borderId="12" xfId="0" applyNumberFormat="1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9" borderId="12" xfId="0" applyFont="1" applyFill="1" applyBorder="1">
      <alignment vertical="center"/>
    </xf>
    <xf numFmtId="0" fontId="26" fillId="19" borderId="12" xfId="0" applyFont="1" applyFill="1" applyBorder="1">
      <alignment vertical="center"/>
    </xf>
    <xf numFmtId="14" fontId="25" fillId="5" borderId="12" xfId="0" applyNumberFormat="1" applyFont="1" applyFill="1" applyBorder="1" applyAlignment="1">
      <alignment vertical="center" wrapText="1"/>
    </xf>
    <xf numFmtId="14" fontId="25" fillId="20" borderId="12" xfId="0" applyNumberFormat="1" applyFont="1" applyFill="1" applyBorder="1" applyAlignment="1">
      <alignment horizontal="center" vertical="center" wrapText="1"/>
    </xf>
    <xf numFmtId="14" fontId="25" fillId="5" borderId="17" xfId="0" applyNumberFormat="1" applyFont="1" applyFill="1" applyBorder="1" applyAlignment="1">
      <alignment horizontal="center" vertical="center" wrapText="1"/>
    </xf>
    <xf numFmtId="14" fontId="11" fillId="5" borderId="18" xfId="0" applyNumberFormat="1" applyFont="1" applyFill="1" applyBorder="1" applyAlignment="1">
      <alignment horizontal="center" vertical="center"/>
    </xf>
    <xf numFmtId="0" fontId="11" fillId="18" borderId="14" xfId="0" applyFont="1" applyFill="1" applyBorder="1" applyAlignment="1">
      <alignment horizontal="center" vertical="center"/>
    </xf>
    <xf numFmtId="0" fontId="11" fillId="18" borderId="14" xfId="0" applyFont="1" applyFill="1" applyBorder="1">
      <alignment vertical="center"/>
    </xf>
    <xf numFmtId="0" fontId="25" fillId="18" borderId="14" xfId="0" applyFont="1" applyFill="1" applyBorder="1" applyAlignment="1">
      <alignment horizontal="left" vertical="center"/>
    </xf>
    <xf numFmtId="0" fontId="11" fillId="18" borderId="14" xfId="0" applyFont="1" applyFill="1" applyBorder="1" applyAlignment="1">
      <alignment horizontal="left" vertical="center"/>
    </xf>
    <xf numFmtId="0" fontId="11" fillId="18" borderId="14" xfId="0" applyFont="1" applyFill="1" applyBorder="1" applyAlignment="1">
      <alignment horizontal="center" vertical="center" wrapText="1"/>
    </xf>
    <xf numFmtId="0" fontId="25" fillId="18" borderId="14" xfId="0" applyFont="1" applyFill="1" applyBorder="1" applyAlignment="1">
      <alignment horizontal="center" vertical="center" wrapText="1"/>
    </xf>
    <xf numFmtId="14" fontId="25" fillId="18" borderId="14" xfId="0" applyNumberFormat="1" applyFont="1" applyFill="1" applyBorder="1" applyAlignment="1">
      <alignment horizontal="center" vertical="center" wrapText="1"/>
    </xf>
    <xf numFmtId="14" fontId="11" fillId="18" borderId="14" xfId="0" applyNumberFormat="1" applyFont="1" applyFill="1" applyBorder="1" applyAlignment="1">
      <alignment horizontal="center" vertical="center"/>
    </xf>
    <xf numFmtId="0" fontId="26" fillId="18" borderId="14" xfId="0" applyFont="1" applyFill="1" applyBorder="1">
      <alignment vertical="center"/>
    </xf>
    <xf numFmtId="0" fontId="11" fillId="5" borderId="14" xfId="0" applyFont="1" applyFill="1" applyBorder="1" applyAlignment="1">
      <alignment horizontal="center" vertical="center"/>
    </xf>
    <xf numFmtId="14" fontId="24" fillId="0" borderId="14" xfId="0" applyNumberFormat="1" applyFont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4" fontId="11" fillId="5" borderId="14" xfId="0" applyNumberFormat="1" applyFont="1" applyFill="1" applyBorder="1" applyAlignment="1">
      <alignment horizontal="center" vertical="center"/>
    </xf>
    <xf numFmtId="14" fontId="25" fillId="5" borderId="14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0" fontId="25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4" fontId="25" fillId="5" borderId="1" xfId="0" applyNumberFormat="1" applyFont="1" applyFill="1" applyBorder="1" applyAlignment="1">
      <alignment horizontal="center" vertical="center" wrapText="1"/>
    </xf>
    <xf numFmtId="14" fontId="11" fillId="5" borderId="15" xfId="0" applyNumberFormat="1" applyFont="1" applyFill="1" applyBorder="1" applyAlignment="1">
      <alignment horizontal="center" vertical="center"/>
    </xf>
    <xf numFmtId="0" fontId="26" fillId="5" borderId="1" xfId="0" applyFont="1" applyFill="1" applyBorder="1">
      <alignment vertical="center"/>
    </xf>
    <xf numFmtId="14" fontId="28" fillId="5" borderId="1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1" fillId="5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4" fontId="23" fillId="0" borderId="12" xfId="0" applyNumberFormat="1" applyFont="1" applyBorder="1" applyAlignment="1">
      <alignment horizontal="center" vertical="center" wrapText="1"/>
    </xf>
    <xf numFmtId="14" fontId="23" fillId="0" borderId="15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11" fillId="15" borderId="1" xfId="0" applyFont="1" applyFill="1" applyBorder="1">
      <alignment vertical="center"/>
    </xf>
    <xf numFmtId="0" fontId="25" fillId="15" borderId="1" xfId="0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14" fontId="25" fillId="15" borderId="1" xfId="0" applyNumberFormat="1" applyFont="1" applyFill="1" applyBorder="1" applyAlignment="1">
      <alignment horizontal="center" vertical="center" wrapText="1"/>
    </xf>
    <xf numFmtId="14" fontId="13" fillId="14" borderId="12" xfId="0" applyNumberFormat="1" applyFont="1" applyFill="1" applyBorder="1" applyAlignment="1">
      <alignment horizontal="center" vertical="center" wrapText="1"/>
    </xf>
    <xf numFmtId="14" fontId="25" fillId="21" borderId="12" xfId="0" applyNumberFormat="1" applyFont="1" applyFill="1" applyBorder="1" applyAlignment="1">
      <alignment horizontal="center" vertical="center" wrapText="1"/>
    </xf>
    <xf numFmtId="14" fontId="11" fillId="21" borderId="15" xfId="0" applyNumberFormat="1" applyFont="1" applyFill="1" applyBorder="1" applyAlignment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26" fillId="15" borderId="1" xfId="0" applyFont="1" applyFill="1" applyBorder="1">
      <alignment vertical="center"/>
    </xf>
    <xf numFmtId="0" fontId="11" fillId="0" borderId="1" xfId="0" applyFont="1" applyBorder="1">
      <alignment vertical="center"/>
    </xf>
    <xf numFmtId="14" fontId="28" fillId="0" borderId="2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11" fillId="18" borderId="1" xfId="0" applyFont="1" applyFill="1" applyBorder="1">
      <alignment vertical="center"/>
    </xf>
    <xf numFmtId="0" fontId="25" fillId="18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14" fontId="25" fillId="18" borderId="1" xfId="0" applyNumberFormat="1" applyFont="1" applyFill="1" applyBorder="1" applyAlignment="1">
      <alignment vertical="center" wrapText="1"/>
    </xf>
    <xf numFmtId="14" fontId="25" fillId="20" borderId="1" xfId="0" applyNumberFormat="1" applyFont="1" applyFill="1" applyBorder="1" applyAlignment="1">
      <alignment horizontal="center" vertical="center" wrapText="1"/>
    </xf>
    <xf numFmtId="14" fontId="25" fillId="18" borderId="1" xfId="0" applyNumberFormat="1" applyFont="1" applyFill="1" applyBorder="1" applyAlignment="1">
      <alignment horizontal="center" vertical="center" wrapText="1"/>
    </xf>
    <xf numFmtId="14" fontId="11" fillId="18" borderId="1" xfId="0" applyNumberFormat="1" applyFont="1" applyFill="1" applyBorder="1" applyAlignment="1">
      <alignment horizontal="center" vertical="center"/>
    </xf>
    <xf numFmtId="0" fontId="26" fillId="18" borderId="1" xfId="0" applyFont="1" applyFill="1" applyBorder="1">
      <alignment vertical="center"/>
    </xf>
    <xf numFmtId="14" fontId="28" fillId="5" borderId="2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left" vertical="center" wrapText="1"/>
    </xf>
    <xf numFmtId="178" fontId="5" fillId="13" borderId="1" xfId="0" applyNumberFormat="1" applyFont="1" applyFill="1" applyBorder="1" applyAlignment="1">
      <alignment horizontal="center" vertical="center" wrapText="1"/>
    </xf>
    <xf numFmtId="14" fontId="13" fillId="13" borderId="12" xfId="0" applyNumberFormat="1" applyFont="1" applyFill="1" applyBorder="1" applyAlignment="1">
      <alignment horizontal="center" vertical="center" wrapText="1"/>
    </xf>
    <xf numFmtId="14" fontId="13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5" fillId="13" borderId="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 wrapText="1"/>
    </xf>
    <xf numFmtId="0" fontId="5" fillId="1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/>
    </xf>
    <xf numFmtId="0" fontId="5" fillId="22" borderId="1" xfId="0" applyFont="1" applyFill="1" applyBorder="1">
      <alignment vertical="center"/>
    </xf>
    <xf numFmtId="0" fontId="5" fillId="11" borderId="1" xfId="0" applyFont="1" applyFill="1" applyBorder="1">
      <alignment vertical="center"/>
    </xf>
    <xf numFmtId="0" fontId="5" fillId="22" borderId="1" xfId="0" applyFont="1" applyFill="1" applyBorder="1" applyAlignment="1">
      <alignment horizontal="left" vertical="center"/>
    </xf>
    <xf numFmtId="178" fontId="5" fillId="22" borderId="1" xfId="0" applyNumberFormat="1" applyFont="1" applyFill="1" applyBorder="1" applyAlignment="1">
      <alignment horizontal="center" vertical="center"/>
    </xf>
    <xf numFmtId="14" fontId="13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22" borderId="21" xfId="0" applyFont="1" applyFill="1" applyBorder="1">
      <alignment vertical="center"/>
    </xf>
    <xf numFmtId="14" fontId="24" fillId="22" borderId="1" xfId="0" applyNumberFormat="1" applyFont="1" applyFill="1" applyBorder="1" applyAlignment="1">
      <alignment horizontal="center" vertical="center" wrapText="1"/>
    </xf>
    <xf numFmtId="14" fontId="5" fillId="22" borderId="1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12" fillId="0" borderId="21" xfId="0" applyFont="1" applyBorder="1">
      <alignment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>
      <alignment vertical="center"/>
    </xf>
    <xf numFmtId="0" fontId="5" fillId="8" borderId="1" xfId="0" applyFont="1" applyFill="1" applyBorder="1" applyAlignment="1">
      <alignment horizontal="left" vertical="center"/>
    </xf>
    <xf numFmtId="178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>
      <alignment vertical="center"/>
    </xf>
    <xf numFmtId="0" fontId="25" fillId="11" borderId="1" xfId="0" applyFont="1" applyFill="1" applyBorder="1" applyAlignment="1">
      <alignment horizontal="left" vertical="center"/>
    </xf>
    <xf numFmtId="178" fontId="11" fillId="15" borderId="1" xfId="0" applyNumberFormat="1" applyFont="1" applyFill="1" applyBorder="1" applyAlignment="1">
      <alignment horizontal="center" vertical="center" wrapText="1"/>
    </xf>
    <xf numFmtId="14" fontId="28" fillId="0" borderId="0" xfId="0" applyNumberFormat="1" applyFont="1" applyAlignment="1">
      <alignment horizontal="center" vertical="center" wrapText="1"/>
    </xf>
    <xf numFmtId="14" fontId="11" fillId="0" borderId="1" xfId="0" applyNumberFormat="1" applyFont="1" applyBorder="1">
      <alignment vertical="center"/>
    </xf>
    <xf numFmtId="0" fontId="25" fillId="0" borderId="1" xfId="0" applyFont="1" applyBorder="1" applyAlignment="1">
      <alignment horizontal="center" vertical="center" wrapText="1"/>
    </xf>
    <xf numFmtId="14" fontId="11" fillId="5" borderId="1" xfId="0" applyNumberFormat="1" applyFont="1" applyFill="1" applyBorder="1">
      <alignment vertical="center"/>
    </xf>
    <xf numFmtId="0" fontId="11" fillId="18" borderId="1" xfId="0" applyFont="1" applyFill="1" applyBorder="1" applyAlignment="1">
      <alignment horizontal="left" vertical="center"/>
    </xf>
    <xf numFmtId="14" fontId="25" fillId="5" borderId="1" xfId="0" applyNumberFormat="1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>
      <alignment vertical="center"/>
    </xf>
    <xf numFmtId="0" fontId="11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14" fontId="25" fillId="16" borderId="1" xfId="0" applyNumberFormat="1" applyFont="1" applyFill="1" applyBorder="1" applyAlignment="1">
      <alignment horizontal="center" vertical="center" wrapText="1"/>
    </xf>
    <xf numFmtId="14" fontId="23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>
      <alignment vertical="center"/>
    </xf>
    <xf numFmtId="14" fontId="11" fillId="5" borderId="12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6" fillId="0" borderId="1" xfId="0" applyFont="1" applyBorder="1">
      <alignment vertical="center"/>
    </xf>
    <xf numFmtId="0" fontId="4" fillId="0" borderId="12" xfId="0" quotePrefix="1" applyFont="1" applyBorder="1" applyAlignment="1">
      <alignment horizontal="center" vertical="center"/>
    </xf>
  </cellXfs>
  <cellStyles count="1">
    <cellStyle name="常规" xfId="0" builtinId="0"/>
  </cellStyles>
  <dxfs count="71">
    <dxf>
      <font>
        <b/>
        <i val="0"/>
        <color rgb="FFC00000"/>
      </font>
      <fill>
        <patternFill patternType="solid">
          <bgColor theme="5" tint="0.599963377788628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/>
        <color rgb="FFC00000"/>
      </font>
      <fill>
        <patternFill patternType="solid">
          <bgColor rgb="FFF1CEEE"/>
        </patternFill>
      </fill>
    </dxf>
    <dxf>
      <font>
        <b/>
        <color rgb="FFC00000"/>
      </font>
      <fill>
        <patternFill patternType="solid">
          <bgColor rgb="FFF1CEEE"/>
        </patternFill>
      </fill>
    </dxf>
    <dxf>
      <font>
        <b/>
        <i val="0"/>
        <color rgb="FFC00000"/>
      </font>
      <fill>
        <patternFill patternType="solid">
          <bgColor theme="8" tint="0.79964598529007846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2"/>
        <color theme="1"/>
        <name val="等线"/>
        <family val="3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V38" totalsRowShown="0">
  <autoFilter ref="A1:V38" xr:uid="{00000000-0009-0000-0100-000002000000}"/>
  <tableColumns count="22">
    <tableColumn id="1" xr3:uid="{00000000-0010-0000-0000-000001000000}" name="名称" dataDxfId="70"/>
    <tableColumn id="2" xr3:uid="{00000000-0010-0000-0000-000002000000}" name="型号" dataDxfId="69"/>
    <tableColumn id="3" xr3:uid="{00000000-0010-0000-0000-000003000000}" name="中试开始_x000a_实际" dataDxfId="68">
      <calculatedColumnFormula>VLOOKUP(表2[[#This Row],[型号]],Sheet1!F:S,14,FALSE)</calculatedColumnFormula>
    </tableColumn>
    <tableColumn id="16" xr3:uid="{00000000-0010-0000-0000-000010000000}" name="计划数量" dataDxfId="67"/>
    <tableColumn id="19" xr3:uid="{00000000-0010-0000-0000-000013000000}" name="研发归档计划" dataDxfId="66"/>
    <tableColumn id="4" xr3:uid="{00000000-0010-0000-0000-000004000000}" name="物料齐套时间计划" dataDxfId="65"/>
    <tableColumn id="6" xr3:uid="{00000000-0010-0000-0000-000006000000}" name="中试治具完成计划" dataDxfId="64"/>
    <tableColumn id="17" xr3:uid="{00000000-0010-0000-0000-000011000000}" name="中试结束（生产）计划" dataDxfId="63">
      <calculatedColumnFormula>VLOOKUP(表2[[#This Row],[型号]],Sheet1!F:M,8,FALSE)</calculatedColumnFormula>
    </tableColumn>
    <tableColumn id="22" xr3:uid="{00000000-0010-0000-0000-000016000000}" name="研发归档硬件实际_x000a_（薛涵月-档案室）" dataDxfId="62"/>
    <tableColumn id="8" xr3:uid="{00000000-0010-0000-0000-000008000000}" name="研发归档软件实际_x000a_（OA流程）" dataDxfId="61"/>
    <tableColumn id="18" xr3:uid="{00000000-0010-0000-0000-000012000000}" name="研发归档是否齐套" dataDxfId="60">
      <calculatedColumnFormula>IF(AND(NOT(ISBLANK(I2)),NOT(ISNUMBER(SEARCH("预计",J2)))),"是","否")</calculatedColumnFormula>
    </tableColumn>
    <tableColumn id="5" xr3:uid="{00000000-0010-0000-0000-000005000000}" name="物料是否实际齐套" dataDxfId="59"/>
    <tableColumn id="20" xr3:uid="{00000000-0010-0000-0000-000014000000}" name="物料齐套备注" dataDxfId="58"/>
    <tableColumn id="7" xr3:uid="{00000000-0010-0000-0000-000007000000}" name="中试治具完成实际_x000a_（邵部长-工艺）" dataDxfId="57"/>
    <tableColumn id="9" xr3:uid="{00000000-0010-0000-0000-000009000000}" name="中试生产是否完成_x000a_（孙登琨-生产计划）" dataDxfId="56"/>
    <tableColumn id="15" xr3:uid="{00000000-0010-0000-0000-00000F000000}" name="实际中试数量" dataDxfId="55"/>
    <tableColumn id="10" xr3:uid="{00000000-0010-0000-0000-00000A000000}" name="中试评审时间实际_x000a_（姜雨豪-研发管理）" dataDxfId="54"/>
    <tableColumn id="11" xr3:uid="{00000000-0010-0000-0000-00000B000000}" name="中试结论_x000a_（王国燕/郭嘉-项目计划）" dataDxfId="53"/>
    <tableColumn id="12" xr3:uid="{00000000-0010-0000-0000-00000C000000}" name="中试结论后跟踪问题简述" dataDxfId="52"/>
    <tableColumn id="24" xr3:uid="{00000000-0010-0000-0000-000018000000}" name="解决时间节点（计划）" dataDxfId="51"/>
    <tableColumn id="13" xr3:uid="{00000000-0010-0000-0000-00000D000000}" name="中试闭环实际_x000a_（郭嘉跟踪中试问题闭环）" dataDxfId="50"/>
    <tableColumn id="14" xr3:uid="{00000000-0010-0000-0000-00000E000000}" name="产品负责人" dataDxfId="49">
      <calculatedColumnFormula>VLOOKUP(表2[[#This Row],[名称]],Sheet1!E:AK,33,FALSE)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229"/>
  <sheetViews>
    <sheetView zoomScale="70" zoomScaleNormal="70" workbookViewId="0">
      <pane xSplit="6" ySplit="1" topLeftCell="P39" activePane="bottomRight" state="frozen"/>
      <selection pane="topRight"/>
      <selection pane="bottomLeft"/>
      <selection pane="bottomRight" activeCell="R1" sqref="R1:X1048576"/>
    </sheetView>
  </sheetViews>
  <sheetFormatPr defaultColWidth="9" defaultRowHeight="14" customHeight="1"/>
  <cols>
    <col min="1" max="1" width="6.3046875" style="45" hidden="1" customWidth="1"/>
    <col min="2" max="2" width="12" style="45" hidden="1" customWidth="1"/>
    <col min="3" max="3" width="12.69140625" style="45" hidden="1" customWidth="1"/>
    <col min="4" max="4" width="16" style="45" hidden="1" customWidth="1"/>
    <col min="5" max="5" width="45.765625" style="45" customWidth="1"/>
    <col min="6" max="6" width="28.765625" style="46" customWidth="1"/>
    <col min="7" max="7" width="10.69140625" style="45" customWidth="1"/>
    <col min="8" max="8" width="19.3046875" style="47" customWidth="1"/>
    <col min="9" max="9" width="20.07421875" style="47" customWidth="1"/>
    <col min="10" max="10" width="14.84375" style="45" customWidth="1"/>
    <col min="11" max="11" width="14.69140625" style="45" customWidth="1"/>
    <col min="12" max="12" width="10.61328125" style="45" customWidth="1"/>
    <col min="13" max="14" width="14.69140625" style="45" customWidth="1"/>
    <col min="15" max="15" width="14" style="48" customWidth="1"/>
    <col min="16" max="16" width="13.15234375" style="49" customWidth="1"/>
    <col min="17" max="17" width="14" style="47" customWidth="1"/>
    <col min="18" max="18" width="20.53515625" style="45" customWidth="1"/>
    <col min="19" max="19" width="16" style="45" customWidth="1"/>
    <col min="20" max="20" width="12.3046875" style="45" customWidth="1"/>
    <col min="21" max="21" width="13" style="45" customWidth="1"/>
    <col min="22" max="22" width="12.69140625" style="45" customWidth="1"/>
    <col min="23" max="23" width="12.3046875" style="45" customWidth="1"/>
    <col min="24" max="24" width="13.3046875" style="45" customWidth="1"/>
    <col min="25" max="25" width="12" style="47" customWidth="1"/>
    <col min="26" max="26" width="12.69140625" style="47" customWidth="1"/>
    <col min="27" max="27" width="15" style="47" customWidth="1"/>
    <col min="28" max="28" width="12" style="47" customWidth="1"/>
    <col min="29" max="29" width="11.69140625" style="47" customWidth="1"/>
    <col min="30" max="30" width="12.3046875" style="47" customWidth="1"/>
    <col min="31" max="31" width="9" style="47"/>
    <col min="32" max="32" width="12.69140625" style="47" customWidth="1"/>
    <col min="33" max="33" width="9" style="47"/>
    <col min="34" max="34" width="9.4609375" style="47" customWidth="1"/>
    <col min="35" max="35" width="31.921875" style="45" customWidth="1"/>
    <col min="36" max="36" width="12" style="47" customWidth="1"/>
    <col min="37" max="37" width="14" style="47" customWidth="1"/>
    <col min="38" max="38" width="9" style="2"/>
    <col min="39" max="39" width="17.07421875" style="45" customWidth="1"/>
    <col min="40" max="40" width="37.84375" style="45" customWidth="1"/>
    <col min="41" max="41" width="20.69140625" style="45" customWidth="1"/>
    <col min="42" max="42" width="21.4609375" style="45" customWidth="1"/>
  </cols>
  <sheetData>
    <row r="1" spans="1:42" ht="39">
      <c r="A1" s="50" t="s">
        <v>0</v>
      </c>
      <c r="B1" s="50" t="s">
        <v>1</v>
      </c>
      <c r="C1" s="51" t="s">
        <v>2</v>
      </c>
      <c r="D1" s="51" t="s">
        <v>3</v>
      </c>
      <c r="E1" s="50" t="s">
        <v>4</v>
      </c>
      <c r="F1" s="50" t="s">
        <v>5</v>
      </c>
      <c r="G1" s="50" t="s">
        <v>6</v>
      </c>
      <c r="H1" s="51" t="s">
        <v>7</v>
      </c>
      <c r="I1" s="51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2" t="s">
        <v>14</v>
      </c>
      <c r="P1" s="53" t="s">
        <v>15</v>
      </c>
      <c r="Q1" s="54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5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  <c r="AE1" s="50" t="s">
        <v>30</v>
      </c>
      <c r="AF1" s="50" t="s">
        <v>31</v>
      </c>
      <c r="AG1" s="50" t="s">
        <v>32</v>
      </c>
      <c r="AH1" s="55" t="s">
        <v>33</v>
      </c>
      <c r="AI1" s="56" t="s">
        <v>34</v>
      </c>
      <c r="AJ1" s="56" t="s">
        <v>35</v>
      </c>
      <c r="AK1" s="56" t="s">
        <v>36</v>
      </c>
      <c r="AL1" s="57" t="s">
        <v>37</v>
      </c>
      <c r="AM1" s="58" t="s">
        <v>38</v>
      </c>
      <c r="AN1" s="58" t="s">
        <v>39</v>
      </c>
      <c r="AO1" s="59" t="s">
        <v>40</v>
      </c>
      <c r="AP1" s="60" t="s">
        <v>41</v>
      </c>
    </row>
    <row r="2" spans="1:42" ht="16.5">
      <c r="A2" s="61">
        <v>40</v>
      </c>
      <c r="B2" s="61" t="s">
        <v>42</v>
      </c>
      <c r="C2" s="61">
        <v>19902049</v>
      </c>
      <c r="D2" s="62"/>
      <c r="E2" s="61" t="s">
        <v>43</v>
      </c>
      <c r="F2" s="63" t="s">
        <v>44</v>
      </c>
      <c r="G2" s="64">
        <v>1</v>
      </c>
      <c r="H2" s="65" t="s">
        <v>45</v>
      </c>
      <c r="I2" s="61" t="s">
        <v>45</v>
      </c>
      <c r="J2" s="66">
        <v>45868</v>
      </c>
      <c r="K2" s="67">
        <v>46011</v>
      </c>
      <c r="L2" s="67">
        <v>46022</v>
      </c>
      <c r="M2" s="66">
        <f>IF((L2+IF(AJ2="高",45,30))&gt;P2,P2-30,L2+IF(AJ2="高",45,30))</f>
        <v>46052</v>
      </c>
      <c r="N2" s="68">
        <f t="shared" ref="N2:N7" si="0">P2-IF(AJ2="高",50,30)</f>
        <v>46083</v>
      </c>
      <c r="O2" s="68">
        <f t="shared" ref="O2:O29" si="1">P2</f>
        <v>46113</v>
      </c>
      <c r="P2" s="69">
        <v>46113</v>
      </c>
      <c r="Q2" s="70">
        <v>45863</v>
      </c>
      <c r="R2" s="66">
        <v>46001</v>
      </c>
      <c r="S2" s="66">
        <v>46037</v>
      </c>
      <c r="T2" s="66"/>
      <c r="U2" s="66"/>
      <c r="V2" s="66"/>
      <c r="W2" s="71"/>
      <c r="X2" s="66">
        <v>46022</v>
      </c>
      <c r="Y2" s="72" t="str">
        <f t="array" ref="Y2" ca="1">_xlfn.SWITCH(TRUE,ISNUMBER(Q2)*Q2&gt;J2,"逾期完成",ISNUMBER(Q2),"按期完成",J2&gt;TODAY(),"待完成","逾期未完成")</f>
        <v>按期完成</v>
      </c>
      <c r="Z2" s="72" t="str">
        <f t="array" ref="Z2" ca="1">_xlfn.SWITCH(TRUE,ISNUMBER(R2)*R2&gt;K2,"逾期完成",ISNUMBER(R2),"按期完成",K2&gt;TODAY(),"待完成","逾期未完成")</f>
        <v>按期完成</v>
      </c>
      <c r="AA2" s="73" t="str">
        <f t="array" ref="AA2" ca="1">_xlfn.SWITCH(TRUE,ISNUMBER(S2)*S2&gt;L2,"逾期完成",ISNUMBER(S2),"按期完成",L2&gt;TODAY(),"待完成","逾期未完成")</f>
        <v>逾期完成</v>
      </c>
      <c r="AB2" s="73" t="str">
        <f t="array" ref="AB2" ca="1">_xlfn.SWITCH(TRUE,ISNUMBER(T2)*T2&gt;M2,"逾期完成",ISNUMBER(T2),"按期完成",M2&gt;TODAY(),"待完成","逾期未完成")</f>
        <v>逾期未完成</v>
      </c>
      <c r="AC2" s="73" t="str">
        <f t="array" ref="AC2" ca="1">_xlfn.SWITCH(TRUE,ISNUMBER(U2)*U2&gt;N2,"逾期完成",ISNUMBER(U2),"按期完成",N2&gt;TODAY(),"待完成","逾期未完成")</f>
        <v>逾期未完成</v>
      </c>
      <c r="AD2" s="73" t="str">
        <f t="array" ref="AD2" ca="1">_xlfn.SWITCH(TRUE,ISNUMBER(V2)*V2&gt;O2,"逾期完成",ISNUMBER(V2),"按期完成",O2&gt;TODAY(),"待完成","逾期未完成")</f>
        <v>逾期未完成</v>
      </c>
      <c r="AE2" s="73" t="str">
        <f t="shared" ref="AE2:AE65" si="2">IF(ISNUMBER(X2),"已获证","未获证")</f>
        <v>已获证</v>
      </c>
      <c r="AF2" s="73" t="str">
        <f t="array" ref="AF2" ca="1">_xlfn.SWITCH(TRUE,ISNUMBER(W2)*W2&gt;P2,"逾期完成",ISNUMBER(W2),"按期完成",P2&gt;TODAY(),"待完成","逾期未完成")</f>
        <v>逾期未完成</v>
      </c>
      <c r="AG2" s="73" t="s">
        <v>46</v>
      </c>
      <c r="AH2" s="74"/>
      <c r="AI2" s="75"/>
      <c r="AJ2" s="76" t="s">
        <v>47</v>
      </c>
      <c r="AK2" s="76" t="s">
        <v>48</v>
      </c>
      <c r="AL2" s="77" t="s">
        <v>49</v>
      </c>
      <c r="AM2" s="78" t="str">
        <f t="shared" ref="AM2:AM65" ca="1" si="3">IF(AND(OR(AB2="按期完成",AB2="逾期完成"),OR(AC2&lt;&gt;"待完成",AD2&lt;&gt;"待完成")),"批产,"&amp;IF(OR(AC2="逾期完成",AC2="逾期未完成",AD2="逾期完成",AD2="逾期未完成"),"逾期","按期"),IF(AND(OR(Z2="按期完成",Z2="逾期完成"),OR(AA2&lt;&gt;"待完成",AB2&lt;&gt;"待完成")),"中试,"&amp;IF(OR(AA2="逾期完成",AA2="逾期未完成",AB2="逾期完成",AB2="逾期未完成"),"逾期","按期"),IF(OR(Y2&lt;&gt;"待完成",Z2&lt;&gt;"待完成"),"送检,"&amp;IF(OR(Y2="逾期完成",Y2="逾期未完成",Z2="逾期完成",Z2="逾期未完成"),"逾期","按期"),"未启动,未开始")))</f>
        <v>中试,逾期</v>
      </c>
      <c r="AN2" s="78" t="str">
        <f t="shared" ref="AN2:AN65" ca="1" si="4">IF(OR(NOT(ISNUMBER(J2)),NOT(ISNUMBER(L2)),NOT(ISNUMBER(M2)),NOT(ISNUMBER(N2)),NOT(ISNUMBER(O2)),NOT(ISNUMBER(P2))),"暂无计划",IF(ISBLANK(Q2),IF(AND(J2-TODAY()&gt;=0,J2-TODAY()&lt;=10),"⚠️ 送检开始（还有"&amp;ROUNDUP(J2-TODAY(),0)&amp;"天，重点关注）",IF(J2&gt;=TODAY(),"送检开始（还有"&amp;ROUNDUP(J2-TODAY(),0)&amp;"天）","送检开始（已超期"&amp;ROUNDUP(TODAY()-J2,0)&amp;"天）")),IF(ISBLANK(S2),IF(AND(L2-TODAY()&gt;=0,L2-TODAY()&lt;=10),"⚠️ 中试开始（还有"&amp;ROUNDUP(L2-TODAY(),0)&amp;"天，重点关注）",IF(L2&gt;=TODAY(),"中试开始（还有"&amp;ROUNDUP(L2-TODAY(),0)&amp;"天）","中试开始（已超期"&amp;ROUNDUP(TODAY()-L2,0)&amp;"天）")),IF(ISBLANK(T2),IF(AND(M2-TODAY()&gt;=0,M2-TODAY()&lt;=10),"⚠️ 中试结束（还有"&amp;ROUNDUP(M2-TODAY(),0)&amp;"天，重点关注）",IF(M2&gt;=TODAY(),"中试结束（还有"&amp;ROUNDUP(M2-TODAY(),0)&amp;"天）","中试结束（已超期"&amp;ROUNDUP(TODAY()-M2,0)&amp;"天）")),IF(ISBLANK(U2),IF(AND(N2-TODAY()&gt;=0,N2-TODAY()&lt;=10),"⚠️ 批产开始（还有"&amp;ROUNDUP(N2-TODAY(),0)&amp;"天，重点关注）",IF(N2&gt;=TODAY(),"批产开始（还有"&amp;ROUNDUP(N2-TODAY(),0)&amp;"天）","批产开始（已超期"&amp;ROUNDUP(TODAY()-N2,0)&amp;"天）")),IF(ISBLANK(V2),IF(AND(O2-TODAY()&gt;=0,O2-TODAY()&lt;=10),"⚠️ 批产结束（还有"&amp;ROUNDUP(O2-TODAY(),0)&amp;"天，重点关注）",IF(O2&gt;=TODAY(),"批产结束（还有"&amp;ROUNDUP(O2-TODAY(),0)&amp;"天）","批产结束（已超期"&amp;ROUNDUP(TODAY()-O2,0)&amp;"天）")),IF(ISBLANK(W2),IF(AND(P2-TODAY()&gt;=0,P2-TODAY()&lt;=10),"⚠️ 上市（还有"&amp;ROUNDUP(P2-TODAY(),0)&amp;"天，重点关注）",IF(P2&gt;=TODAY(),"上市（还有"&amp;ROUNDUP(P2-TODAY(),0)&amp;"天）","上市（已超期"&amp;ROUNDUP(TODAY()-P2,0)&amp;"天）")),"已完成所有阶段")))))))</f>
        <v>中试结束（已超期126天）</v>
      </c>
      <c r="AO2" s="79"/>
      <c r="AP2" s="79"/>
    </row>
    <row r="3" spans="1:42" ht="16.5">
      <c r="A3" s="61">
        <v>36</v>
      </c>
      <c r="B3" s="61" t="s">
        <v>42</v>
      </c>
      <c r="C3" s="61">
        <v>11200349</v>
      </c>
      <c r="D3" s="62"/>
      <c r="E3" s="61" t="s">
        <v>50</v>
      </c>
      <c r="F3" s="63" t="s">
        <v>51</v>
      </c>
      <c r="G3" s="61">
        <v>1</v>
      </c>
      <c r="H3" s="65" t="s">
        <v>45</v>
      </c>
      <c r="I3" s="61" t="s">
        <v>45</v>
      </c>
      <c r="J3" s="66">
        <v>45868</v>
      </c>
      <c r="K3" s="67">
        <v>45960</v>
      </c>
      <c r="L3" s="66"/>
      <c r="M3" s="66"/>
      <c r="N3" s="68">
        <f t="shared" si="0"/>
        <v>45993</v>
      </c>
      <c r="O3" s="68">
        <f t="shared" si="1"/>
        <v>46023</v>
      </c>
      <c r="P3" s="69">
        <v>46023</v>
      </c>
      <c r="Q3" s="70">
        <v>45863</v>
      </c>
      <c r="R3" s="66">
        <v>45960</v>
      </c>
      <c r="S3" s="66">
        <v>45976</v>
      </c>
      <c r="T3" s="66">
        <v>46023</v>
      </c>
      <c r="U3" s="66">
        <v>46037</v>
      </c>
      <c r="V3" s="66">
        <v>46023</v>
      </c>
      <c r="W3" s="66">
        <v>46023</v>
      </c>
      <c r="X3" s="66">
        <v>45988</v>
      </c>
      <c r="Y3" s="72" t="str">
        <f t="array" ref="Y3" ca="1">_xlfn.SWITCH(TRUE,ISNUMBER(Q3)*Q3&gt;J3,"逾期完成",ISNUMBER(Q3),"按期完成",J3&gt;TODAY(),"待完成","逾期未完成")</f>
        <v>按期完成</v>
      </c>
      <c r="Z3" s="72" t="str">
        <f t="array" ref="Z3" ca="1">_xlfn.SWITCH(TRUE,ISNUMBER(R3)*R3&gt;K3,"逾期完成",ISNUMBER(R3),"按期完成",K3&gt;TODAY(),"待完成","逾期未完成")</f>
        <v>按期完成</v>
      </c>
      <c r="AA3" s="73" t="str">
        <f t="array" ref="AA3" ca="1">_xlfn.SWITCH(TRUE,ISNUMBER(S3)*S3&gt;L3,"逾期完成",ISNUMBER(S3),"按期完成",L3&gt;TODAY(),"待完成","逾期未完成")</f>
        <v>逾期完成</v>
      </c>
      <c r="AB3" s="73" t="str">
        <f t="array" ref="AB3" ca="1">_xlfn.SWITCH(TRUE,ISNUMBER(T3)*T3&gt;M3,"逾期完成",ISNUMBER(T3),"按期完成",M3&gt;TODAY(),"待完成","逾期未完成")</f>
        <v>逾期完成</v>
      </c>
      <c r="AC3" s="73" t="str">
        <f t="array" ref="AC3" ca="1">_xlfn.SWITCH(TRUE,ISNUMBER(U3)*U3&gt;N3,"逾期完成",ISNUMBER(U3),"按期完成",N3&gt;TODAY(),"待完成","逾期未完成")</f>
        <v>逾期完成</v>
      </c>
      <c r="AD3" s="73" t="str">
        <f t="array" ref="AD3" ca="1">_xlfn.SWITCH(TRUE,ISNUMBER(V3)*V3&gt;O3,"逾期完成",ISNUMBER(V3),"按期完成",O3&gt;TODAY(),"待完成","逾期未完成")</f>
        <v>按期完成</v>
      </c>
      <c r="AE3" s="73" t="str">
        <f t="shared" si="2"/>
        <v>已获证</v>
      </c>
      <c r="AF3" s="73" t="str">
        <f t="array" ref="AF3" ca="1">_xlfn.SWITCH(TRUE,ISNUMBER(W3)*W3&gt;P3,"逾期完成",ISNUMBER(W3),"按期完成",P3&gt;TODAY(),"待完成","逾期未完成")</f>
        <v>按期完成</v>
      </c>
      <c r="AG3" s="73" t="s">
        <v>46</v>
      </c>
      <c r="AH3" s="74">
        <v>0</v>
      </c>
      <c r="AI3" s="75"/>
      <c r="AJ3" s="76" t="s">
        <v>47</v>
      </c>
      <c r="AK3" s="76" t="s">
        <v>48</v>
      </c>
      <c r="AL3" s="77" t="s">
        <v>49</v>
      </c>
      <c r="AM3" s="78" t="str">
        <f t="shared" ca="1" si="3"/>
        <v>批产,逾期</v>
      </c>
      <c r="AN3" s="78" t="str">
        <f t="shared" ca="1" si="4"/>
        <v>暂无计划</v>
      </c>
      <c r="AO3" s="79"/>
      <c r="AP3" s="79"/>
    </row>
    <row r="4" spans="1:42" ht="16.5">
      <c r="A4" s="61">
        <v>37</v>
      </c>
      <c r="B4" s="80" t="s">
        <v>42</v>
      </c>
      <c r="C4" s="80">
        <v>11200348</v>
      </c>
      <c r="D4" s="62"/>
      <c r="E4" s="80" t="s">
        <v>50</v>
      </c>
      <c r="F4" s="81" t="s">
        <v>52</v>
      </c>
      <c r="G4" s="80">
        <v>1</v>
      </c>
      <c r="H4" s="82" t="s">
        <v>45</v>
      </c>
      <c r="I4" s="80" t="s">
        <v>45</v>
      </c>
      <c r="J4" s="83">
        <v>45868</v>
      </c>
      <c r="K4" s="84">
        <v>45960</v>
      </c>
      <c r="L4" s="83"/>
      <c r="M4" s="83"/>
      <c r="N4" s="68">
        <f t="shared" si="0"/>
        <v>45993</v>
      </c>
      <c r="O4" s="68">
        <f t="shared" si="1"/>
        <v>46023</v>
      </c>
      <c r="P4" s="69">
        <v>46023</v>
      </c>
      <c r="Q4" s="85">
        <v>45863</v>
      </c>
      <c r="R4" s="86">
        <v>45960</v>
      </c>
      <c r="S4" s="86">
        <v>45976</v>
      </c>
      <c r="T4" s="86">
        <v>46023</v>
      </c>
      <c r="U4" s="86">
        <v>46037</v>
      </c>
      <c r="V4" s="86">
        <v>46023</v>
      </c>
      <c r="W4" s="86">
        <v>46023</v>
      </c>
      <c r="X4" s="86">
        <v>45988</v>
      </c>
      <c r="Y4" s="72" t="str">
        <f t="array" ref="Y4" ca="1">_xlfn.SWITCH(TRUE,ISNUMBER(Q4)*Q4&gt;J4,"逾期完成",ISNUMBER(Q4),"按期完成",J4&gt;TODAY(),"待完成","逾期未完成")</f>
        <v>按期完成</v>
      </c>
      <c r="Z4" s="72" t="str">
        <f t="array" ref="Z4" ca="1">_xlfn.SWITCH(TRUE,ISNUMBER(R4)*R4&gt;K4,"逾期完成",ISNUMBER(R4),"按期完成",K4&gt;TODAY(),"待完成","逾期未完成")</f>
        <v>按期完成</v>
      </c>
      <c r="AA4" s="73" t="str">
        <f t="array" ref="AA4" ca="1">_xlfn.SWITCH(TRUE,ISNUMBER(S4)*S4&gt;L4,"逾期完成",ISNUMBER(S4),"按期完成",L4&gt;TODAY(),"待完成","逾期未完成")</f>
        <v>逾期完成</v>
      </c>
      <c r="AB4" s="73" t="str">
        <f t="array" ref="AB4" ca="1">_xlfn.SWITCH(TRUE,ISNUMBER(T4)*T4&gt;M4,"逾期完成",ISNUMBER(T4),"按期完成",M4&gt;TODAY(),"待完成","逾期未完成")</f>
        <v>逾期完成</v>
      </c>
      <c r="AC4" s="73" t="str">
        <f t="array" ref="AC4" ca="1">_xlfn.SWITCH(TRUE,ISNUMBER(U4)*U4&gt;N4,"逾期完成",ISNUMBER(U4),"按期完成",N4&gt;TODAY(),"待完成","逾期未完成")</f>
        <v>逾期完成</v>
      </c>
      <c r="AD4" s="73" t="str">
        <f t="array" ref="AD4" ca="1">_xlfn.SWITCH(TRUE,ISNUMBER(V4)*V4&gt;O4,"逾期完成",ISNUMBER(V4),"按期完成",O4&gt;TODAY(),"待完成","逾期未完成")</f>
        <v>按期完成</v>
      </c>
      <c r="AE4" s="73" t="str">
        <f t="shared" si="2"/>
        <v>已获证</v>
      </c>
      <c r="AF4" s="73" t="str">
        <f t="array" ref="AF4" ca="1">_xlfn.SWITCH(TRUE,ISNUMBER(W4)*W4&gt;P4,"逾期完成",ISNUMBER(W4),"按期完成",P4&gt;TODAY(),"待完成","逾期未完成")</f>
        <v>按期完成</v>
      </c>
      <c r="AG4" s="73" t="s">
        <v>46</v>
      </c>
      <c r="AH4" s="74">
        <v>0</v>
      </c>
      <c r="AI4" s="75"/>
      <c r="AJ4" s="76" t="s">
        <v>47</v>
      </c>
      <c r="AK4" s="76" t="s">
        <v>48</v>
      </c>
      <c r="AL4" s="77" t="s">
        <v>49</v>
      </c>
      <c r="AM4" s="78" t="str">
        <f t="shared" ca="1" si="3"/>
        <v>批产,逾期</v>
      </c>
      <c r="AN4" s="78" t="str">
        <f t="shared" ca="1" si="4"/>
        <v>暂无计划</v>
      </c>
      <c r="AO4" s="79"/>
      <c r="AP4" s="79"/>
    </row>
    <row r="5" spans="1:42" ht="16.5">
      <c r="A5" s="61">
        <v>38</v>
      </c>
      <c r="B5" s="61" t="s">
        <v>42</v>
      </c>
      <c r="C5" s="61">
        <v>11200347</v>
      </c>
      <c r="D5" s="62"/>
      <c r="E5" s="61" t="s">
        <v>50</v>
      </c>
      <c r="F5" s="63" t="s">
        <v>53</v>
      </c>
      <c r="G5" s="61">
        <v>1</v>
      </c>
      <c r="H5" s="65" t="s">
        <v>45</v>
      </c>
      <c r="I5" s="61" t="s">
        <v>45</v>
      </c>
      <c r="J5" s="66">
        <v>45868</v>
      </c>
      <c r="K5" s="67">
        <v>45960</v>
      </c>
      <c r="L5" s="66"/>
      <c r="M5" s="66"/>
      <c r="N5" s="68">
        <f t="shared" si="0"/>
        <v>45993</v>
      </c>
      <c r="O5" s="68">
        <f t="shared" si="1"/>
        <v>46023</v>
      </c>
      <c r="P5" s="69">
        <v>46023</v>
      </c>
      <c r="Q5" s="70">
        <v>45863</v>
      </c>
      <c r="R5" s="66">
        <v>45960</v>
      </c>
      <c r="S5" s="66">
        <v>45976</v>
      </c>
      <c r="T5" s="66">
        <v>46023</v>
      </c>
      <c r="U5" s="66">
        <v>46037</v>
      </c>
      <c r="V5" s="66">
        <v>46023</v>
      </c>
      <c r="W5" s="66">
        <v>46023</v>
      </c>
      <c r="X5" s="66">
        <v>45988</v>
      </c>
      <c r="Y5" s="72" t="str">
        <f t="array" ref="Y5" ca="1">_xlfn.SWITCH(TRUE,ISNUMBER(Q5)*Q5&gt;J5,"逾期完成",ISNUMBER(Q5),"按期完成",J5&gt;TODAY(),"待完成","逾期未完成")</f>
        <v>按期完成</v>
      </c>
      <c r="Z5" s="72" t="str">
        <f t="array" ref="Z5" ca="1">_xlfn.SWITCH(TRUE,ISNUMBER(R5)*R5&gt;K5,"逾期完成",ISNUMBER(R5),"按期完成",K5&gt;TODAY(),"待完成","逾期未完成")</f>
        <v>按期完成</v>
      </c>
      <c r="AA5" s="73" t="str">
        <f t="array" ref="AA5" ca="1">_xlfn.SWITCH(TRUE,ISNUMBER(S5)*S5&gt;L5,"逾期完成",ISNUMBER(S5),"按期完成",L5&gt;TODAY(),"待完成","逾期未完成")</f>
        <v>逾期完成</v>
      </c>
      <c r="AB5" s="73" t="str">
        <f t="array" ref="AB5" ca="1">_xlfn.SWITCH(TRUE,ISNUMBER(T5)*T5&gt;M5,"逾期完成",ISNUMBER(T5),"按期完成",M5&gt;TODAY(),"待完成","逾期未完成")</f>
        <v>逾期完成</v>
      </c>
      <c r="AC5" s="73" t="str">
        <f t="array" ref="AC5" ca="1">_xlfn.SWITCH(TRUE,ISNUMBER(U5)*U5&gt;N5,"逾期完成",ISNUMBER(U5),"按期完成",N5&gt;TODAY(),"待完成","逾期未完成")</f>
        <v>逾期完成</v>
      </c>
      <c r="AD5" s="73" t="str">
        <f t="array" ref="AD5" ca="1">_xlfn.SWITCH(TRUE,ISNUMBER(V5)*V5&gt;O5,"逾期完成",ISNUMBER(V5),"按期完成",O5&gt;TODAY(),"待完成","逾期未完成")</f>
        <v>按期完成</v>
      </c>
      <c r="AE5" s="73" t="str">
        <f t="shared" si="2"/>
        <v>已获证</v>
      </c>
      <c r="AF5" s="73" t="str">
        <f t="array" ref="AF5" ca="1">_xlfn.SWITCH(TRUE,ISNUMBER(W5)*W5&gt;P5,"逾期完成",ISNUMBER(W5),"按期完成",P5&gt;TODAY(),"待完成","逾期未完成")</f>
        <v>按期完成</v>
      </c>
      <c r="AG5" s="73" t="s">
        <v>46</v>
      </c>
      <c r="AH5" s="74">
        <v>0</v>
      </c>
      <c r="AI5" s="75"/>
      <c r="AJ5" s="76" t="s">
        <v>47</v>
      </c>
      <c r="AK5" s="76" t="s">
        <v>48</v>
      </c>
      <c r="AL5" s="77" t="s">
        <v>49</v>
      </c>
      <c r="AM5" s="78" t="str">
        <f t="shared" ca="1" si="3"/>
        <v>批产,逾期</v>
      </c>
      <c r="AN5" s="78" t="str">
        <f t="shared" ca="1" si="4"/>
        <v>暂无计划</v>
      </c>
      <c r="AO5" s="79"/>
      <c r="AP5" s="79"/>
    </row>
    <row r="6" spans="1:42" ht="16.5">
      <c r="A6" s="61">
        <v>39</v>
      </c>
      <c r="B6" s="80" t="s">
        <v>42</v>
      </c>
      <c r="C6" s="80">
        <v>11200346</v>
      </c>
      <c r="D6" s="62"/>
      <c r="E6" s="80" t="s">
        <v>50</v>
      </c>
      <c r="F6" s="81" t="s">
        <v>54</v>
      </c>
      <c r="G6" s="80">
        <v>1</v>
      </c>
      <c r="H6" s="82" t="s">
        <v>45</v>
      </c>
      <c r="I6" s="80" t="s">
        <v>45</v>
      </c>
      <c r="J6" s="83">
        <v>45868</v>
      </c>
      <c r="K6" s="84">
        <v>45960</v>
      </c>
      <c r="L6" s="83"/>
      <c r="M6" s="83"/>
      <c r="N6" s="68">
        <f t="shared" si="0"/>
        <v>45993</v>
      </c>
      <c r="O6" s="68">
        <f t="shared" si="1"/>
        <v>46023</v>
      </c>
      <c r="P6" s="68">
        <v>46023</v>
      </c>
      <c r="Q6" s="86">
        <v>45863</v>
      </c>
      <c r="R6" s="86">
        <v>45960</v>
      </c>
      <c r="S6" s="86">
        <v>45976</v>
      </c>
      <c r="T6" s="86">
        <v>46023</v>
      </c>
      <c r="U6" s="86">
        <v>46037</v>
      </c>
      <c r="V6" s="86">
        <v>46023</v>
      </c>
      <c r="W6" s="86">
        <v>46023</v>
      </c>
      <c r="X6" s="83">
        <v>45988</v>
      </c>
      <c r="Y6" s="72" t="str">
        <f t="array" ref="Y6" ca="1">_xlfn.SWITCH(TRUE,ISNUMBER(Q6)*Q6&gt;J6,"逾期完成",ISNUMBER(Q6),"按期完成",J6&gt;TODAY(),"待完成","逾期未完成")</f>
        <v>按期完成</v>
      </c>
      <c r="Z6" s="72" t="str">
        <f t="array" ref="Z6" ca="1">_xlfn.SWITCH(TRUE,ISNUMBER(R6)*R6&gt;K6,"逾期完成",ISNUMBER(R6),"按期完成",K6&gt;TODAY(),"待完成","逾期未完成")</f>
        <v>按期完成</v>
      </c>
      <c r="AA6" s="73" t="str">
        <f t="array" ref="AA6" ca="1">_xlfn.SWITCH(TRUE,ISNUMBER(S6)*S6&gt;L6,"逾期完成",ISNUMBER(S6),"按期完成",L6&gt;TODAY(),"待完成","逾期未完成")</f>
        <v>逾期完成</v>
      </c>
      <c r="AB6" s="73" t="str">
        <f t="array" ref="AB6" ca="1">_xlfn.SWITCH(TRUE,ISNUMBER(T6)*T6&gt;M6,"逾期完成",ISNUMBER(T6),"按期完成",M6&gt;TODAY(),"待完成","逾期未完成")</f>
        <v>逾期完成</v>
      </c>
      <c r="AC6" s="73" t="str">
        <f t="array" ref="AC6" ca="1">_xlfn.SWITCH(TRUE,ISNUMBER(U6)*U6&gt;N6,"逾期完成",ISNUMBER(U6),"按期完成",N6&gt;TODAY(),"待完成","逾期未完成")</f>
        <v>逾期完成</v>
      </c>
      <c r="AD6" s="73" t="str">
        <f t="array" ref="AD6" ca="1">_xlfn.SWITCH(TRUE,ISNUMBER(V6)*V6&gt;O6,"逾期完成",ISNUMBER(V6),"按期完成",O6&gt;TODAY(),"待完成","逾期未完成")</f>
        <v>按期完成</v>
      </c>
      <c r="AE6" s="73" t="str">
        <f t="shared" si="2"/>
        <v>已获证</v>
      </c>
      <c r="AF6" s="73" t="str">
        <f t="array" ref="AF6" ca="1">_xlfn.SWITCH(TRUE,ISNUMBER(W6)*W6&gt;P6,"逾期完成",ISNUMBER(W6),"按期完成",P6&gt;TODAY(),"待完成","逾期未完成")</f>
        <v>按期完成</v>
      </c>
      <c r="AG6" s="73" t="s">
        <v>46</v>
      </c>
      <c r="AH6" s="74">
        <v>0</v>
      </c>
      <c r="AI6" s="75"/>
      <c r="AJ6" s="76" t="s">
        <v>47</v>
      </c>
      <c r="AK6" s="76" t="s">
        <v>48</v>
      </c>
      <c r="AL6" s="77" t="s">
        <v>49</v>
      </c>
      <c r="AM6" s="78" t="str">
        <f t="shared" ca="1" si="3"/>
        <v>批产,逾期</v>
      </c>
      <c r="AN6" s="78" t="str">
        <f t="shared" ca="1" si="4"/>
        <v>暂无计划</v>
      </c>
      <c r="AO6" s="79"/>
      <c r="AP6" s="79"/>
    </row>
    <row r="7" spans="1:42" ht="16.5">
      <c r="A7" s="61">
        <v>1</v>
      </c>
      <c r="B7" s="87" t="s">
        <v>55</v>
      </c>
      <c r="C7" s="87">
        <v>10101536</v>
      </c>
      <c r="D7" s="62"/>
      <c r="E7" s="87" t="s">
        <v>56</v>
      </c>
      <c r="F7" s="88" t="s">
        <v>57</v>
      </c>
      <c r="G7" s="89">
        <v>1</v>
      </c>
      <c r="H7" s="90">
        <v>10100811</v>
      </c>
      <c r="I7" s="87" t="s">
        <v>58</v>
      </c>
      <c r="J7" s="91">
        <v>45899</v>
      </c>
      <c r="K7" s="83">
        <f>(MAX(J7,Q7)+60)</f>
        <v>45959</v>
      </c>
      <c r="L7" s="83">
        <f>MAX(J7,Q7)+30</f>
        <v>45929</v>
      </c>
      <c r="M7" s="83">
        <f>IF((L7+IF(AJ7="高",45,30))&gt;P7,P7-30,L7+IF(AJ7="高",45,30))</f>
        <v>45959</v>
      </c>
      <c r="N7" s="83">
        <f t="shared" si="0"/>
        <v>46083</v>
      </c>
      <c r="O7" s="83">
        <f t="shared" si="1"/>
        <v>46113</v>
      </c>
      <c r="P7" s="92">
        <v>46113</v>
      </c>
      <c r="Q7" s="93">
        <v>45869</v>
      </c>
      <c r="R7" s="83">
        <v>45971</v>
      </c>
      <c r="S7" s="83">
        <v>45953</v>
      </c>
      <c r="T7" s="83">
        <v>46111</v>
      </c>
      <c r="U7" s="83">
        <v>46051</v>
      </c>
      <c r="V7" s="83"/>
      <c r="W7" s="94"/>
      <c r="X7" s="83">
        <v>46020</v>
      </c>
      <c r="Y7" s="72" t="str">
        <f t="array" ref="Y7" ca="1">_xlfn.SWITCH(TRUE,ISNUMBER(Q7)*Q7&gt;J7,"逾期完成",ISNUMBER(Q7),"按期完成",J7&gt;TODAY(),"待完成","逾期未完成")</f>
        <v>按期完成</v>
      </c>
      <c r="Z7" s="72" t="str">
        <f t="array" ref="Z7" ca="1">_xlfn.SWITCH(TRUE,ISNUMBER(R7)*R7&gt;K7,"逾期完成",ISNUMBER(R7),"按期完成",K7&gt;TODAY(),"待完成","逾期未完成")</f>
        <v>逾期完成</v>
      </c>
      <c r="AA7" s="73" t="str">
        <f t="array" ref="AA7" ca="1">_xlfn.SWITCH(TRUE,ISNUMBER(S7)*S7&gt;L7,"逾期完成",ISNUMBER(S7),"按期完成",L7&gt;TODAY(),"待完成","逾期未完成")</f>
        <v>逾期完成</v>
      </c>
      <c r="AB7" s="73" t="str">
        <f t="array" ref="AB7" ca="1">_xlfn.SWITCH(TRUE,ISNUMBER(T7)*T7&gt;M7,"逾期完成",ISNUMBER(T7),"按期完成",M7&gt;TODAY(),"待完成","逾期未完成")</f>
        <v>逾期完成</v>
      </c>
      <c r="AC7" s="73" t="str">
        <f t="array" ref="AC7" ca="1">_xlfn.SWITCH(TRUE,ISNUMBER(U7)*U7&gt;N7,"逾期完成",ISNUMBER(U7),"按期完成",N7&gt;TODAY(),"待完成","逾期未完成")</f>
        <v>按期完成</v>
      </c>
      <c r="AD7" s="73" t="str">
        <f t="array" ref="AD7" ca="1">_xlfn.SWITCH(TRUE,ISNUMBER(V7)*V7&gt;O7,"逾期完成",ISNUMBER(V7),"按期完成",O7&gt;TODAY(),"待完成","逾期未完成")</f>
        <v>逾期未完成</v>
      </c>
      <c r="AE7" s="73" t="str">
        <f t="shared" si="2"/>
        <v>已获证</v>
      </c>
      <c r="AF7" s="73" t="str">
        <f t="array" ref="AF7" ca="1">_xlfn.SWITCH(TRUE,ISNUMBER(W7)*W7&gt;P7,"逾期完成",ISNUMBER(W7),"按期完成",P7&gt;TODAY(),"待完成","逾期未完成")</f>
        <v>逾期未完成</v>
      </c>
      <c r="AG7" s="73" t="s">
        <v>46</v>
      </c>
      <c r="AH7" s="74"/>
      <c r="AI7" s="75"/>
      <c r="AJ7" s="76" t="s">
        <v>47</v>
      </c>
      <c r="AK7" s="76" t="s">
        <v>59</v>
      </c>
      <c r="AL7" s="77" t="s">
        <v>60</v>
      </c>
      <c r="AM7" s="78" t="str">
        <f t="shared" ca="1" si="3"/>
        <v>批产,逾期</v>
      </c>
      <c r="AN7" s="78" t="str">
        <f t="shared" ca="1" si="4"/>
        <v>批产结束（已超期65天）</v>
      </c>
      <c r="AO7" s="66">
        <v>45778</v>
      </c>
      <c r="AP7" s="66">
        <v>46143</v>
      </c>
    </row>
    <row r="8" spans="1:42" ht="16.5">
      <c r="A8" s="61">
        <v>45</v>
      </c>
      <c r="B8" s="80" t="s">
        <v>61</v>
      </c>
      <c r="C8" s="80"/>
      <c r="D8" s="62"/>
      <c r="E8" s="80" t="s">
        <v>62</v>
      </c>
      <c r="F8" s="81" t="s">
        <v>63</v>
      </c>
      <c r="G8" s="80">
        <v>3</v>
      </c>
      <c r="H8" s="82" t="s">
        <v>45</v>
      </c>
      <c r="I8" s="80" t="s">
        <v>45</v>
      </c>
      <c r="J8" s="83">
        <v>45899</v>
      </c>
      <c r="K8" s="83">
        <f>(MAX(J8,Q8)+60)</f>
        <v>45971</v>
      </c>
      <c r="L8" s="84">
        <v>46063</v>
      </c>
      <c r="M8" s="84">
        <v>46101</v>
      </c>
      <c r="N8" s="68">
        <v>46101</v>
      </c>
      <c r="O8" s="68">
        <f t="shared" si="1"/>
        <v>46101</v>
      </c>
      <c r="P8" s="68">
        <v>46101</v>
      </c>
      <c r="Q8" s="93">
        <v>45911</v>
      </c>
      <c r="R8" s="83">
        <v>46032</v>
      </c>
      <c r="S8" s="83"/>
      <c r="T8" s="86"/>
      <c r="U8" s="86"/>
      <c r="V8" s="86"/>
      <c r="W8" s="95"/>
      <c r="X8" s="86">
        <v>46056</v>
      </c>
      <c r="Y8" s="72" t="str">
        <f t="array" ref="Y8" ca="1">_xlfn.SWITCH(TRUE,ISNUMBER(Q8)*Q8&gt;J8,"逾期完成",ISNUMBER(Q8),"按期完成",J8&gt;TODAY(),"待完成","逾期未完成")</f>
        <v>逾期完成</v>
      </c>
      <c r="Z8" s="72" t="str">
        <f t="array" ref="Z8" ca="1">_xlfn.SWITCH(TRUE,ISNUMBER(R8)*R8&gt;K8,"逾期完成",ISNUMBER(R8),"按期完成",K8&gt;TODAY(),"待完成","逾期未完成")</f>
        <v>逾期完成</v>
      </c>
      <c r="AA8" s="73" t="str">
        <f t="array" ref="AA8" ca="1">_xlfn.SWITCH(TRUE,ISNUMBER(S8)*S8&gt;L8,"逾期完成",ISNUMBER(S8),"按期完成",L8&gt;TODAY(),"待完成","逾期未完成")</f>
        <v>逾期未完成</v>
      </c>
      <c r="AB8" s="73" t="str">
        <f t="array" ref="AB8" ca="1">_xlfn.SWITCH(TRUE,ISNUMBER(T8)*T8&gt;M8,"逾期完成",ISNUMBER(T8),"按期完成",M8&gt;TODAY(),"待完成","逾期未完成")</f>
        <v>逾期未完成</v>
      </c>
      <c r="AC8" s="73" t="str">
        <f t="array" ref="AC8" ca="1">_xlfn.SWITCH(TRUE,ISNUMBER(U8)*U8&gt;N8,"逾期完成",ISNUMBER(U8),"按期完成",N8&gt;TODAY(),"待完成","逾期未完成")</f>
        <v>逾期未完成</v>
      </c>
      <c r="AD8" s="73" t="str">
        <f t="array" ref="AD8" ca="1">_xlfn.SWITCH(TRUE,ISNUMBER(V8)*V8&gt;O8,"逾期完成",ISNUMBER(V8),"按期完成",O8&gt;TODAY(),"待完成","逾期未完成")</f>
        <v>逾期未完成</v>
      </c>
      <c r="AE8" s="73" t="str">
        <f t="shared" si="2"/>
        <v>已获证</v>
      </c>
      <c r="AF8" s="73" t="str">
        <f t="array" ref="AF8" ca="1">_xlfn.SWITCH(TRUE,ISNUMBER(W8)*W8&gt;P8,"逾期完成",ISNUMBER(W8),"按期完成",P8&gt;TODAY(),"待完成","逾期未完成")</f>
        <v>逾期未完成</v>
      </c>
      <c r="AG8" s="73" t="s">
        <v>46</v>
      </c>
      <c r="AH8" s="74">
        <v>0</v>
      </c>
      <c r="AI8" s="75"/>
      <c r="AJ8" s="76" t="s">
        <v>47</v>
      </c>
      <c r="AK8" s="76" t="s">
        <v>64</v>
      </c>
      <c r="AL8" s="77" t="s">
        <v>49</v>
      </c>
      <c r="AM8" s="78" t="str">
        <f t="shared" ca="1" si="3"/>
        <v>中试,逾期</v>
      </c>
      <c r="AN8" s="78" t="str">
        <f t="shared" ca="1" si="4"/>
        <v>中试开始（已超期115天）</v>
      </c>
      <c r="AO8" s="79">
        <v>46204</v>
      </c>
      <c r="AP8" s="79">
        <v>46569</v>
      </c>
    </row>
    <row r="9" spans="1:42" ht="16.5">
      <c r="A9" s="61">
        <v>42</v>
      </c>
      <c r="B9" s="61" t="s">
        <v>55</v>
      </c>
      <c r="C9" s="61">
        <v>11200335</v>
      </c>
      <c r="D9" s="62"/>
      <c r="E9" s="61" t="s">
        <v>65</v>
      </c>
      <c r="F9" s="63" t="s">
        <v>66</v>
      </c>
      <c r="G9" s="64">
        <v>1</v>
      </c>
      <c r="H9" s="65">
        <v>10101104</v>
      </c>
      <c r="I9" s="61" t="s">
        <v>67</v>
      </c>
      <c r="J9" s="66">
        <v>45920</v>
      </c>
      <c r="K9" s="66">
        <f>(MAX(J9,Q9)+60)</f>
        <v>45980</v>
      </c>
      <c r="L9" s="67">
        <v>46096</v>
      </c>
      <c r="M9" s="66">
        <f>IF((L9+IF(AJ9="高",45,30))&gt;P9,P9-30,L9+IF(AJ9="高",45,30))</f>
        <v>46141</v>
      </c>
      <c r="N9" s="68">
        <f>P9-IF(AJ9="高",50,30)</f>
        <v>46153</v>
      </c>
      <c r="O9" s="68">
        <f t="shared" si="1"/>
        <v>46203</v>
      </c>
      <c r="P9" s="68">
        <v>46203</v>
      </c>
      <c r="Q9" s="70">
        <v>45915</v>
      </c>
      <c r="R9" s="66">
        <v>46000</v>
      </c>
      <c r="S9" s="66">
        <v>46051</v>
      </c>
      <c r="T9" s="66">
        <v>46111</v>
      </c>
      <c r="U9" s="66"/>
      <c r="V9" s="66"/>
      <c r="W9" s="71"/>
      <c r="X9" s="66">
        <v>46020</v>
      </c>
      <c r="Y9" s="72" t="str">
        <f t="array" ref="Y9" ca="1">_xlfn.SWITCH(TRUE,ISNUMBER(Q9)*Q9&gt;J9,"逾期完成",ISNUMBER(Q9),"按期完成",J9&gt;TODAY(),"待完成","逾期未完成")</f>
        <v>按期完成</v>
      </c>
      <c r="Z9" s="72" t="str">
        <f t="array" ref="Z9" ca="1">_xlfn.SWITCH(TRUE,ISNUMBER(R9)*R9&gt;K9,"逾期完成",ISNUMBER(R9),"按期完成",K9&gt;TODAY(),"待完成","逾期未完成")</f>
        <v>逾期完成</v>
      </c>
      <c r="AA9" s="73" t="str">
        <f t="array" ref="AA9" ca="1">_xlfn.SWITCH(TRUE,ISNUMBER(S9)*S9&gt;L9,"逾期完成",ISNUMBER(S9),"按期完成",L9&gt;TODAY(),"待完成","逾期未完成")</f>
        <v>按期完成</v>
      </c>
      <c r="AB9" s="73" t="str">
        <f t="array" ref="AB9" ca="1">_xlfn.SWITCH(TRUE,ISNUMBER(T9)*T9&gt;M9,"逾期完成",ISNUMBER(T9),"按期完成",M9&gt;TODAY(),"待完成","逾期未完成")</f>
        <v>按期完成</v>
      </c>
      <c r="AC9" s="73" t="str">
        <f t="array" ref="AC9" ca="1">_xlfn.SWITCH(TRUE,ISNUMBER(U9)*U9&gt;N9,"逾期完成",ISNUMBER(U9),"按期完成",N9&gt;TODAY(),"待完成","逾期未完成")</f>
        <v>逾期未完成</v>
      </c>
      <c r="AD9" s="73" t="str">
        <f t="array" ref="AD9" ca="1">_xlfn.SWITCH(TRUE,ISNUMBER(V9)*V9&gt;O9,"逾期完成",ISNUMBER(V9),"按期完成",O9&gt;TODAY(),"待完成","逾期未完成")</f>
        <v>待完成</v>
      </c>
      <c r="AE9" s="73" t="str">
        <f t="shared" si="2"/>
        <v>已获证</v>
      </c>
      <c r="AF9" s="73" t="str">
        <f t="array" ref="AF9" ca="1">_xlfn.SWITCH(TRUE,ISNUMBER(W9)*W9&gt;P9,"逾期完成",ISNUMBER(W9),"按期完成",P9&gt;TODAY(),"待完成","逾期未完成")</f>
        <v>待完成</v>
      </c>
      <c r="AG9" s="73" t="s">
        <v>68</v>
      </c>
      <c r="AH9" s="74"/>
      <c r="AI9" s="75"/>
      <c r="AJ9" s="76" t="s">
        <v>69</v>
      </c>
      <c r="AK9" s="76" t="s">
        <v>70</v>
      </c>
      <c r="AL9" s="77" t="s">
        <v>60</v>
      </c>
      <c r="AM9" s="78" t="str">
        <f t="shared" ca="1" si="3"/>
        <v>批产,逾期</v>
      </c>
      <c r="AN9" s="78" t="str">
        <f t="shared" ca="1" si="4"/>
        <v>批产开始（已超期25天）</v>
      </c>
      <c r="AO9" s="79"/>
      <c r="AP9" s="79"/>
    </row>
    <row r="10" spans="1:42" ht="16.5">
      <c r="A10" s="61">
        <v>4</v>
      </c>
      <c r="B10" s="61" t="s">
        <v>55</v>
      </c>
      <c r="C10" s="61">
        <v>10101998</v>
      </c>
      <c r="D10" s="62"/>
      <c r="E10" s="61" t="s">
        <v>71</v>
      </c>
      <c r="F10" s="63" t="s">
        <v>72</v>
      </c>
      <c r="G10" s="64">
        <v>1</v>
      </c>
      <c r="H10" s="65">
        <v>10101046</v>
      </c>
      <c r="I10" s="61" t="s">
        <v>73</v>
      </c>
      <c r="J10" s="66">
        <v>45930</v>
      </c>
      <c r="K10" s="67">
        <v>45991</v>
      </c>
      <c r="L10" s="67">
        <v>45981</v>
      </c>
      <c r="M10" s="67">
        <v>45991</v>
      </c>
      <c r="N10" s="67">
        <v>46022</v>
      </c>
      <c r="O10" s="66">
        <f t="shared" si="1"/>
        <v>46143</v>
      </c>
      <c r="P10" s="96">
        <v>46143</v>
      </c>
      <c r="Q10" s="70">
        <v>45919</v>
      </c>
      <c r="R10" s="66">
        <v>45980</v>
      </c>
      <c r="S10" s="66">
        <v>45953</v>
      </c>
      <c r="T10" s="66">
        <v>46014</v>
      </c>
      <c r="U10" s="66"/>
      <c r="V10" s="66"/>
      <c r="W10" s="71"/>
      <c r="X10" s="66">
        <v>46002</v>
      </c>
      <c r="Y10" s="72" t="str">
        <f t="array" ref="Y10" ca="1">_xlfn.SWITCH(TRUE,ISNUMBER(Q10)*Q10&gt;J10,"逾期完成",ISNUMBER(Q10),"按期完成",J10&gt;TODAY(),"待完成","逾期未完成")</f>
        <v>按期完成</v>
      </c>
      <c r="Z10" s="72" t="str">
        <f t="array" ref="Z10" ca="1">_xlfn.SWITCH(TRUE,ISNUMBER(R10)*R10&gt;K10,"逾期完成",ISNUMBER(R10),"按期完成",K10&gt;TODAY(),"待完成","逾期未完成")</f>
        <v>按期完成</v>
      </c>
      <c r="AA10" s="73" t="str">
        <f t="array" ref="AA10" ca="1">_xlfn.SWITCH(TRUE,ISNUMBER(S10)*S10&gt;L10,"逾期完成",ISNUMBER(S10),"按期完成",L10&gt;TODAY(),"待完成","逾期未完成")</f>
        <v>按期完成</v>
      </c>
      <c r="AB10" s="73" t="str">
        <f t="array" ref="AB10" ca="1">_xlfn.SWITCH(TRUE,ISNUMBER(T10)*T10&gt;M10,"逾期完成",ISNUMBER(T10),"按期完成",M10&gt;TODAY(),"待完成","逾期未完成")</f>
        <v>逾期完成</v>
      </c>
      <c r="AC10" s="73" t="str">
        <f t="array" ref="AC10" ca="1">_xlfn.SWITCH(TRUE,ISNUMBER(U10)*U10&gt;N10,"逾期完成",ISNUMBER(U10),"按期完成",N10&gt;TODAY(),"待完成","逾期未完成")</f>
        <v>逾期未完成</v>
      </c>
      <c r="AD10" s="73" t="str">
        <f t="array" ref="AD10" ca="1">_xlfn.SWITCH(TRUE,ISNUMBER(V10)*V10&gt;O10,"逾期完成",ISNUMBER(V10),"按期完成",O10&gt;TODAY(),"待完成","逾期未完成")</f>
        <v>逾期未完成</v>
      </c>
      <c r="AE10" s="73" t="str">
        <f t="shared" si="2"/>
        <v>已获证</v>
      </c>
      <c r="AF10" s="73" t="str">
        <f t="array" ref="AF10" ca="1">_xlfn.SWITCH(TRUE,ISNUMBER(W10)*W10&gt;P10,"逾期完成",ISNUMBER(W10),"按期完成",P10&gt;TODAY(),"待完成","逾期未完成")</f>
        <v>逾期未完成</v>
      </c>
      <c r="AG10" s="73" t="s">
        <v>46</v>
      </c>
      <c r="AH10" s="74"/>
      <c r="AI10" s="97" t="s">
        <v>74</v>
      </c>
      <c r="AJ10" s="76" t="s">
        <v>69</v>
      </c>
      <c r="AK10" s="76" t="s">
        <v>75</v>
      </c>
      <c r="AL10" s="77" t="s">
        <v>60</v>
      </c>
      <c r="AM10" s="78" t="str">
        <f t="shared" ca="1" si="3"/>
        <v>批产,逾期</v>
      </c>
      <c r="AN10" s="78" t="str">
        <f t="shared" ca="1" si="4"/>
        <v>批产开始（已超期156天）</v>
      </c>
      <c r="AO10" s="66"/>
      <c r="AP10" s="98"/>
    </row>
    <row r="11" spans="1:42" ht="16.5">
      <c r="A11" s="61">
        <v>35</v>
      </c>
      <c r="B11" s="80" t="s">
        <v>42</v>
      </c>
      <c r="C11" s="80">
        <v>19902046</v>
      </c>
      <c r="D11" s="62"/>
      <c r="E11" s="80" t="s">
        <v>76</v>
      </c>
      <c r="F11" s="81" t="s">
        <v>77</v>
      </c>
      <c r="G11" s="99">
        <v>1</v>
      </c>
      <c r="H11" s="82" t="s">
        <v>45</v>
      </c>
      <c r="I11" s="80" t="s">
        <v>45</v>
      </c>
      <c r="J11" s="83">
        <v>45930</v>
      </c>
      <c r="K11" s="84">
        <v>45991</v>
      </c>
      <c r="L11" s="84">
        <v>46063</v>
      </c>
      <c r="M11" s="84">
        <v>46091</v>
      </c>
      <c r="N11" s="68">
        <f>P11-IF(AJ11="高",50,30)</f>
        <v>46083</v>
      </c>
      <c r="O11" s="68">
        <f t="shared" si="1"/>
        <v>46113</v>
      </c>
      <c r="P11" s="68">
        <v>46113</v>
      </c>
      <c r="Q11" s="93">
        <v>45904</v>
      </c>
      <c r="R11" s="83">
        <v>45981</v>
      </c>
      <c r="S11" s="83">
        <v>46063</v>
      </c>
      <c r="T11" s="83"/>
      <c r="U11" s="83"/>
      <c r="V11" s="83"/>
      <c r="W11" s="100"/>
      <c r="X11" s="83">
        <v>46057</v>
      </c>
      <c r="Y11" s="72" t="str">
        <f t="array" ref="Y11" ca="1">_xlfn.SWITCH(TRUE,ISNUMBER(Q11)*Q11&gt;J11,"逾期完成",ISNUMBER(Q11),"按期完成",J11&gt;TODAY(),"待完成","逾期未完成")</f>
        <v>按期完成</v>
      </c>
      <c r="Z11" s="72" t="str">
        <f t="array" ref="Z11" ca="1">_xlfn.SWITCH(TRUE,ISNUMBER(R11)*R11&gt;K11,"逾期完成",ISNUMBER(R11),"按期完成",K11&gt;TODAY(),"待完成","逾期未完成")</f>
        <v>按期完成</v>
      </c>
      <c r="AA11" s="73" t="str">
        <f t="array" ref="AA11" ca="1">_xlfn.SWITCH(TRUE,ISNUMBER(S11)*S11&gt;L11,"逾期完成",ISNUMBER(S11),"按期完成",L11&gt;TODAY(),"待完成","逾期未完成")</f>
        <v>按期完成</v>
      </c>
      <c r="AB11" s="73" t="str">
        <f t="array" ref="AB11" ca="1">_xlfn.SWITCH(TRUE,ISNUMBER(T11)*T11&gt;M11,"逾期完成",ISNUMBER(T11),"按期完成",M11&gt;TODAY(),"待完成","逾期未完成")</f>
        <v>逾期未完成</v>
      </c>
      <c r="AC11" s="73" t="str">
        <f t="array" ref="AC11" ca="1">_xlfn.SWITCH(TRUE,ISNUMBER(U11)*U11&gt;N11,"逾期完成",ISNUMBER(U11),"按期完成",N11&gt;TODAY(),"待完成","逾期未完成")</f>
        <v>逾期未完成</v>
      </c>
      <c r="AD11" s="73" t="str">
        <f t="array" ref="AD11" ca="1">_xlfn.SWITCH(TRUE,ISNUMBER(V11)*V11&gt;O11,"逾期完成",ISNUMBER(V11),"按期完成",O11&gt;TODAY(),"待完成","逾期未完成")</f>
        <v>逾期未完成</v>
      </c>
      <c r="AE11" s="73" t="str">
        <f t="shared" si="2"/>
        <v>已获证</v>
      </c>
      <c r="AF11" s="73" t="str">
        <f t="array" ref="AF11" ca="1">_xlfn.SWITCH(TRUE,ISNUMBER(W11)*W11&gt;P11,"逾期完成",ISNUMBER(W11),"按期完成",P11&gt;TODAY(),"待完成","逾期未完成")</f>
        <v>逾期未完成</v>
      </c>
      <c r="AG11" s="73" t="s">
        <v>68</v>
      </c>
      <c r="AH11" s="74"/>
      <c r="AI11" s="75"/>
      <c r="AJ11" s="76" t="s">
        <v>47</v>
      </c>
      <c r="AK11" s="76" t="s">
        <v>48</v>
      </c>
      <c r="AL11" s="77" t="s">
        <v>49</v>
      </c>
      <c r="AM11" s="78" t="str">
        <f t="shared" ca="1" si="3"/>
        <v>中试,逾期</v>
      </c>
      <c r="AN11" s="78" t="str">
        <f t="shared" ca="1" si="4"/>
        <v>中试结束（已超期87天）</v>
      </c>
      <c r="AO11" s="79">
        <v>46327</v>
      </c>
      <c r="AP11" s="79">
        <v>46692</v>
      </c>
    </row>
    <row r="12" spans="1:42" ht="28">
      <c r="A12" s="61">
        <v>14</v>
      </c>
      <c r="B12" s="80" t="s">
        <v>78</v>
      </c>
      <c r="C12" s="80" t="s">
        <v>79</v>
      </c>
      <c r="D12" s="62"/>
      <c r="E12" s="80" t="s">
        <v>80</v>
      </c>
      <c r="F12" s="81" t="s">
        <v>81</v>
      </c>
      <c r="G12" s="99">
        <v>2</v>
      </c>
      <c r="H12" s="82" t="s">
        <v>45</v>
      </c>
      <c r="I12" s="80" t="s">
        <v>45</v>
      </c>
      <c r="J12" s="83">
        <v>45960</v>
      </c>
      <c r="K12" s="83">
        <f>(MAX(J12,Q12)+60)</f>
        <v>46020</v>
      </c>
      <c r="L12" s="84">
        <v>46063</v>
      </c>
      <c r="M12" s="84">
        <v>46101</v>
      </c>
      <c r="N12" s="68">
        <v>46101</v>
      </c>
      <c r="O12" s="68">
        <f t="shared" si="1"/>
        <v>46172</v>
      </c>
      <c r="P12" s="68">
        <v>46172</v>
      </c>
      <c r="Q12" s="93">
        <v>45853</v>
      </c>
      <c r="R12" s="83">
        <v>45971</v>
      </c>
      <c r="S12" s="83">
        <v>46007</v>
      </c>
      <c r="T12" s="83">
        <v>46122</v>
      </c>
      <c r="U12" s="83"/>
      <c r="V12" s="83"/>
      <c r="W12" s="100"/>
      <c r="X12" s="83">
        <v>45996</v>
      </c>
      <c r="Y12" s="72" t="str">
        <f t="array" ref="Y12" ca="1">_xlfn.SWITCH(TRUE,ISNUMBER(Q12)*Q12&gt;J12,"逾期完成",ISNUMBER(Q12),"按期完成",J12&gt;TODAY(),"待完成","逾期未完成")</f>
        <v>按期完成</v>
      </c>
      <c r="Z12" s="72" t="str">
        <f t="array" ref="Z12" ca="1">_xlfn.SWITCH(TRUE,ISNUMBER(R12)*R12&gt;K12,"逾期完成",ISNUMBER(R12),"按期完成",K12&gt;TODAY(),"待完成","逾期未完成")</f>
        <v>按期完成</v>
      </c>
      <c r="AA12" s="73" t="str">
        <f t="array" ref="AA12" ca="1">_xlfn.SWITCH(TRUE,ISNUMBER(S12)*S12&gt;L12,"逾期完成",ISNUMBER(S12),"按期完成",L12&gt;TODAY(),"待完成","逾期未完成")</f>
        <v>按期完成</v>
      </c>
      <c r="AB12" s="73" t="str">
        <f t="array" ref="AB12" ca="1">_xlfn.SWITCH(TRUE,ISNUMBER(T12)*T12&gt;M12,"逾期完成",ISNUMBER(T12),"按期完成",M12&gt;TODAY(),"待完成","逾期未完成")</f>
        <v>逾期完成</v>
      </c>
      <c r="AC12" s="73" t="str">
        <f t="array" ref="AC12" ca="1">_xlfn.SWITCH(TRUE,ISNUMBER(U12)*U12&gt;N12,"逾期完成",ISNUMBER(U12),"按期完成",N12&gt;TODAY(),"待完成","逾期未完成")</f>
        <v>逾期未完成</v>
      </c>
      <c r="AD12" s="73" t="str">
        <f t="array" ref="AD12" ca="1">_xlfn.SWITCH(TRUE,ISNUMBER(V12)*V12&gt;O12,"逾期完成",ISNUMBER(V12),"按期完成",O12&gt;TODAY(),"待完成","逾期未完成")</f>
        <v>逾期未完成</v>
      </c>
      <c r="AE12" s="73" t="str">
        <f t="shared" si="2"/>
        <v>已获证</v>
      </c>
      <c r="AF12" s="73" t="str">
        <f t="array" ref="AF12" ca="1">_xlfn.SWITCH(TRUE,ISNUMBER(W12)*W12&gt;P12,"逾期完成",ISNUMBER(W12),"按期完成",P12&gt;TODAY(),"待完成","逾期未完成")</f>
        <v>逾期未完成</v>
      </c>
      <c r="AG12" s="73" t="s">
        <v>68</v>
      </c>
      <c r="AH12" s="74"/>
      <c r="AI12" s="75"/>
      <c r="AJ12" s="76" t="s">
        <v>47</v>
      </c>
      <c r="AK12" s="76" t="s">
        <v>59</v>
      </c>
      <c r="AL12" s="77" t="s">
        <v>60</v>
      </c>
      <c r="AM12" s="78" t="str">
        <f t="shared" ca="1" si="3"/>
        <v>批产,逾期</v>
      </c>
      <c r="AN12" s="78" t="str">
        <f t="shared" ca="1" si="4"/>
        <v>批产开始（已超期77天）</v>
      </c>
      <c r="AO12" s="66">
        <v>45778</v>
      </c>
      <c r="AP12" s="66">
        <v>46143</v>
      </c>
    </row>
    <row r="13" spans="1:42" ht="16.5">
      <c r="A13" s="61">
        <v>16</v>
      </c>
      <c r="B13" s="80" t="s">
        <v>78</v>
      </c>
      <c r="C13" s="80">
        <v>10101404</v>
      </c>
      <c r="D13" s="62"/>
      <c r="E13" s="80" t="s">
        <v>82</v>
      </c>
      <c r="F13" s="81" t="s">
        <v>83</v>
      </c>
      <c r="G13" s="99">
        <v>1</v>
      </c>
      <c r="H13" s="82" t="s">
        <v>45</v>
      </c>
      <c r="I13" s="80" t="s">
        <v>45</v>
      </c>
      <c r="J13" s="83">
        <v>45960</v>
      </c>
      <c r="K13" s="83">
        <v>46020</v>
      </c>
      <c r="L13" s="84">
        <v>46063</v>
      </c>
      <c r="M13" s="84">
        <v>46101</v>
      </c>
      <c r="N13" s="68">
        <v>46101</v>
      </c>
      <c r="O13" s="68">
        <f t="shared" si="1"/>
        <v>46172</v>
      </c>
      <c r="P13" s="68">
        <v>46172</v>
      </c>
      <c r="Q13" s="93">
        <v>45958</v>
      </c>
      <c r="R13" s="83">
        <v>46044</v>
      </c>
      <c r="S13" s="83">
        <v>46051</v>
      </c>
      <c r="T13" s="83">
        <v>46115</v>
      </c>
      <c r="U13" s="83"/>
      <c r="V13" s="83"/>
      <c r="W13" s="100"/>
      <c r="X13" s="83">
        <v>46083</v>
      </c>
      <c r="Y13" s="72" t="str">
        <f t="array" ref="Y13" ca="1">_xlfn.SWITCH(TRUE,ISNUMBER(Q13)*Q13&gt;J13,"逾期完成",ISNUMBER(Q13),"按期完成",J13&gt;TODAY(),"待完成","逾期未完成")</f>
        <v>按期完成</v>
      </c>
      <c r="Z13" s="72" t="str">
        <f t="array" ref="Z13" ca="1">_xlfn.SWITCH(TRUE,ISNUMBER(R13)*R13&gt;K13,"逾期完成",ISNUMBER(R13),"按期完成",K13&gt;TODAY(),"待完成","逾期未完成")</f>
        <v>逾期完成</v>
      </c>
      <c r="AA13" s="73" t="str">
        <f t="array" ref="AA13" ca="1">_xlfn.SWITCH(TRUE,ISNUMBER(S13)*S13&gt;L13,"逾期完成",ISNUMBER(S13),"按期完成",L13&gt;TODAY(),"待完成","逾期未完成")</f>
        <v>按期完成</v>
      </c>
      <c r="AB13" s="73" t="str">
        <f t="array" ref="AB13" ca="1">_xlfn.SWITCH(TRUE,ISNUMBER(T13)*T13&gt;M13,"逾期完成",ISNUMBER(T13),"按期完成",M13&gt;TODAY(),"待完成","逾期未完成")</f>
        <v>逾期完成</v>
      </c>
      <c r="AC13" s="73" t="str">
        <f t="array" ref="AC13" ca="1">_xlfn.SWITCH(TRUE,ISNUMBER(U13)*U13&gt;N13,"逾期完成",ISNUMBER(U13),"按期完成",N13&gt;TODAY(),"待完成","逾期未完成")</f>
        <v>逾期未完成</v>
      </c>
      <c r="AD13" s="73" t="str">
        <f t="array" ref="AD13" ca="1">_xlfn.SWITCH(TRUE,ISNUMBER(V13)*V13&gt;O13,"逾期完成",ISNUMBER(V13),"按期完成",O13&gt;TODAY(),"待完成","逾期未完成")</f>
        <v>逾期未完成</v>
      </c>
      <c r="AE13" s="73" t="str">
        <f t="shared" si="2"/>
        <v>已获证</v>
      </c>
      <c r="AF13" s="73" t="str">
        <f t="array" ref="AF13" ca="1">_xlfn.SWITCH(TRUE,ISNUMBER(W13)*W13&gt;P13,"逾期完成",ISNUMBER(W13),"按期完成",P13&gt;TODAY(),"待完成","逾期未完成")</f>
        <v>逾期未完成</v>
      </c>
      <c r="AG13" s="73" t="s">
        <v>68</v>
      </c>
      <c r="AH13" s="74"/>
      <c r="AI13" s="75"/>
      <c r="AJ13" s="76" t="s">
        <v>47</v>
      </c>
      <c r="AK13" s="76" t="s">
        <v>84</v>
      </c>
      <c r="AL13" s="77" t="s">
        <v>60</v>
      </c>
      <c r="AM13" s="78" t="str">
        <f t="shared" ca="1" si="3"/>
        <v>批产,逾期</v>
      </c>
      <c r="AN13" s="78" t="str">
        <f t="shared" ca="1" si="4"/>
        <v>批产开始（已超期77天）</v>
      </c>
      <c r="AO13" s="66">
        <v>45992</v>
      </c>
      <c r="AP13" s="66">
        <v>46357</v>
      </c>
    </row>
    <row r="14" spans="1:42" ht="16.5">
      <c r="A14" s="61">
        <v>17</v>
      </c>
      <c r="B14" s="61" t="s">
        <v>78</v>
      </c>
      <c r="C14" s="61">
        <v>10101407</v>
      </c>
      <c r="D14" s="62"/>
      <c r="E14" s="61" t="s">
        <v>85</v>
      </c>
      <c r="F14" s="63" t="s">
        <v>86</v>
      </c>
      <c r="G14" s="64">
        <v>1</v>
      </c>
      <c r="H14" s="65" t="s">
        <v>45</v>
      </c>
      <c r="I14" s="61" t="s">
        <v>45</v>
      </c>
      <c r="J14" s="66">
        <v>45960</v>
      </c>
      <c r="K14" s="66">
        <f t="shared" ref="K14:K19" si="5">(MAX(J14,Q14)+60)</f>
        <v>46020</v>
      </c>
      <c r="L14" s="67">
        <v>46063</v>
      </c>
      <c r="M14" s="67">
        <v>46101</v>
      </c>
      <c r="N14" s="68">
        <v>46101</v>
      </c>
      <c r="O14" s="68">
        <f t="shared" si="1"/>
        <v>46172</v>
      </c>
      <c r="P14" s="68">
        <v>46172</v>
      </c>
      <c r="Q14" s="70">
        <v>45958</v>
      </c>
      <c r="R14" s="66">
        <v>46020</v>
      </c>
      <c r="S14" s="66">
        <v>46051</v>
      </c>
      <c r="T14" s="66">
        <v>46115</v>
      </c>
      <c r="U14" s="66"/>
      <c r="V14" s="66"/>
      <c r="W14" s="71"/>
      <c r="X14" s="101">
        <v>46056</v>
      </c>
      <c r="Y14" s="72" t="str">
        <f t="array" ref="Y14" ca="1">_xlfn.SWITCH(TRUE,ISNUMBER(Q14)*Q14&gt;J14,"逾期完成",ISNUMBER(Q14),"按期完成",J14&gt;TODAY(),"待完成","逾期未完成")</f>
        <v>按期完成</v>
      </c>
      <c r="Z14" s="72" t="str">
        <f t="array" ref="Z14" ca="1">_xlfn.SWITCH(TRUE,ISNUMBER(R14)*R14&gt;K14,"逾期完成",ISNUMBER(R14),"按期完成",K14&gt;TODAY(),"待完成","逾期未完成")</f>
        <v>按期完成</v>
      </c>
      <c r="AA14" s="73" t="str">
        <f t="array" ref="AA14" ca="1">_xlfn.SWITCH(TRUE,ISNUMBER(S14)*S14&gt;L14,"逾期完成",ISNUMBER(S14),"按期完成",L14&gt;TODAY(),"待完成","逾期未完成")</f>
        <v>按期完成</v>
      </c>
      <c r="AB14" s="73" t="str">
        <f t="array" ref="AB14" ca="1">_xlfn.SWITCH(TRUE,ISNUMBER(T14)*T14&gt;M14,"逾期完成",ISNUMBER(T14),"按期完成",M14&gt;TODAY(),"待完成","逾期未完成")</f>
        <v>逾期完成</v>
      </c>
      <c r="AC14" s="73" t="str">
        <f t="array" ref="AC14" ca="1">_xlfn.SWITCH(TRUE,ISNUMBER(U14)*U14&gt;N14,"逾期完成",ISNUMBER(U14),"按期完成",N14&gt;TODAY(),"待完成","逾期未完成")</f>
        <v>逾期未完成</v>
      </c>
      <c r="AD14" s="73" t="str">
        <f t="array" ref="AD14" ca="1">_xlfn.SWITCH(TRUE,ISNUMBER(V14)*V14&gt;O14,"逾期完成",ISNUMBER(V14),"按期完成",O14&gt;TODAY(),"待完成","逾期未完成")</f>
        <v>逾期未完成</v>
      </c>
      <c r="AE14" s="73" t="str">
        <f t="shared" si="2"/>
        <v>已获证</v>
      </c>
      <c r="AF14" s="73" t="str">
        <f t="array" ref="AF14" ca="1">_xlfn.SWITCH(TRUE,ISNUMBER(W14)*W14&gt;P14,"逾期完成",ISNUMBER(W14),"按期完成",P14&gt;TODAY(),"待完成","逾期未完成")</f>
        <v>逾期未完成</v>
      </c>
      <c r="AG14" s="73" t="s">
        <v>68</v>
      </c>
      <c r="AH14" s="74"/>
      <c r="AI14" s="75"/>
      <c r="AJ14" s="76" t="s">
        <v>47</v>
      </c>
      <c r="AK14" s="76" t="s">
        <v>84</v>
      </c>
      <c r="AL14" s="77" t="s">
        <v>60</v>
      </c>
      <c r="AM14" s="78" t="str">
        <f t="shared" ca="1" si="3"/>
        <v>批产,逾期</v>
      </c>
      <c r="AN14" s="78" t="str">
        <f t="shared" ca="1" si="4"/>
        <v>批产开始（已超期77天）</v>
      </c>
      <c r="AO14" s="66"/>
      <c r="AP14" s="98"/>
    </row>
    <row r="15" spans="1:42" ht="16.5">
      <c r="A15" s="61">
        <v>19</v>
      </c>
      <c r="B15" s="61" t="s">
        <v>78</v>
      </c>
      <c r="C15" s="61">
        <v>10102015</v>
      </c>
      <c r="D15" s="62"/>
      <c r="E15" s="61" t="s">
        <v>87</v>
      </c>
      <c r="F15" s="63" t="s">
        <v>88</v>
      </c>
      <c r="G15" s="64">
        <v>1</v>
      </c>
      <c r="H15" s="65" t="s">
        <v>45</v>
      </c>
      <c r="I15" s="61" t="s">
        <v>45</v>
      </c>
      <c r="J15" s="66">
        <v>45960</v>
      </c>
      <c r="K15" s="66">
        <f t="shared" si="5"/>
        <v>46020</v>
      </c>
      <c r="L15" s="67">
        <v>46063</v>
      </c>
      <c r="M15" s="67">
        <v>46101</v>
      </c>
      <c r="N15" s="68">
        <v>46101</v>
      </c>
      <c r="O15" s="68">
        <f t="shared" si="1"/>
        <v>46172</v>
      </c>
      <c r="P15" s="68">
        <v>46172</v>
      </c>
      <c r="Q15" s="70">
        <v>45916</v>
      </c>
      <c r="R15" s="66">
        <v>45975</v>
      </c>
      <c r="S15" s="66">
        <v>46051</v>
      </c>
      <c r="T15" s="66">
        <v>46115</v>
      </c>
      <c r="U15" s="66"/>
      <c r="V15" s="66"/>
      <c r="W15" s="71"/>
      <c r="X15" s="66">
        <v>46002</v>
      </c>
      <c r="Y15" s="72" t="str">
        <f t="array" ref="Y15" ca="1">_xlfn.SWITCH(TRUE,ISNUMBER(Q15)*Q15&gt;J15,"逾期完成",ISNUMBER(Q15),"按期完成",J15&gt;TODAY(),"待完成","逾期未完成")</f>
        <v>按期完成</v>
      </c>
      <c r="Z15" s="72" t="str">
        <f t="array" ref="Z15" ca="1">_xlfn.SWITCH(TRUE,ISNUMBER(R15)*R15&gt;K15,"逾期完成",ISNUMBER(R15),"按期完成",K15&gt;TODAY(),"待完成","逾期未完成")</f>
        <v>按期完成</v>
      </c>
      <c r="AA15" s="73" t="str">
        <f t="array" ref="AA15" ca="1">_xlfn.SWITCH(TRUE,ISNUMBER(S15)*S15&gt;L15,"逾期完成",ISNUMBER(S15),"按期完成",L15&gt;TODAY(),"待完成","逾期未完成")</f>
        <v>按期完成</v>
      </c>
      <c r="AB15" s="73" t="str">
        <f t="array" ref="AB15" ca="1">_xlfn.SWITCH(TRUE,ISNUMBER(T15)*T15&gt;M15,"逾期完成",ISNUMBER(T15),"按期完成",M15&gt;TODAY(),"待完成","逾期未完成")</f>
        <v>逾期完成</v>
      </c>
      <c r="AC15" s="73" t="str">
        <f t="array" ref="AC15" ca="1">_xlfn.SWITCH(TRUE,ISNUMBER(U15)*U15&gt;N15,"逾期完成",ISNUMBER(U15),"按期完成",N15&gt;TODAY(),"待完成","逾期未完成")</f>
        <v>逾期未完成</v>
      </c>
      <c r="AD15" s="73" t="str">
        <f t="array" ref="AD15" ca="1">_xlfn.SWITCH(TRUE,ISNUMBER(V15)*V15&gt;O15,"逾期完成",ISNUMBER(V15),"按期完成",O15&gt;TODAY(),"待完成","逾期未完成")</f>
        <v>逾期未完成</v>
      </c>
      <c r="AE15" s="73" t="str">
        <f t="shared" si="2"/>
        <v>已获证</v>
      </c>
      <c r="AF15" s="73" t="str">
        <f t="array" ref="AF15" ca="1">_xlfn.SWITCH(TRUE,ISNUMBER(W15)*W15&gt;P15,"逾期完成",ISNUMBER(W15),"按期完成",P15&gt;TODAY(),"待完成","逾期未完成")</f>
        <v>逾期未完成</v>
      </c>
      <c r="AG15" s="73" t="s">
        <v>68</v>
      </c>
      <c r="AH15" s="74"/>
      <c r="AI15" s="75"/>
      <c r="AJ15" s="76" t="s">
        <v>47</v>
      </c>
      <c r="AK15" s="76" t="s">
        <v>89</v>
      </c>
      <c r="AL15" s="77" t="s">
        <v>60</v>
      </c>
      <c r="AM15" s="78" t="str">
        <f t="shared" ca="1" si="3"/>
        <v>批产,逾期</v>
      </c>
      <c r="AN15" s="78" t="str">
        <f t="shared" ca="1" si="4"/>
        <v>批产开始（已超期77天）</v>
      </c>
      <c r="AO15" s="66"/>
      <c r="AP15" s="66"/>
    </row>
    <row r="16" spans="1:42" ht="16.5">
      <c r="A16" s="61">
        <v>20</v>
      </c>
      <c r="B16" s="80" t="s">
        <v>78</v>
      </c>
      <c r="C16" s="80">
        <v>10102016</v>
      </c>
      <c r="D16" s="62"/>
      <c r="E16" s="80" t="s">
        <v>90</v>
      </c>
      <c r="F16" s="81" t="s">
        <v>91</v>
      </c>
      <c r="G16" s="99">
        <v>1</v>
      </c>
      <c r="H16" s="82" t="s">
        <v>45</v>
      </c>
      <c r="I16" s="80" t="s">
        <v>45</v>
      </c>
      <c r="J16" s="83">
        <v>45960</v>
      </c>
      <c r="K16" s="83">
        <f t="shared" si="5"/>
        <v>46020</v>
      </c>
      <c r="L16" s="84">
        <v>46063</v>
      </c>
      <c r="M16" s="84">
        <v>46101</v>
      </c>
      <c r="N16" s="68">
        <v>46101</v>
      </c>
      <c r="O16" s="68">
        <f t="shared" si="1"/>
        <v>46172</v>
      </c>
      <c r="P16" s="68">
        <v>46172</v>
      </c>
      <c r="Q16" s="93">
        <v>45916</v>
      </c>
      <c r="R16" s="83">
        <v>45975</v>
      </c>
      <c r="S16" s="83">
        <v>46051</v>
      </c>
      <c r="T16" s="83">
        <v>46115</v>
      </c>
      <c r="U16" s="83"/>
      <c r="V16" s="83"/>
      <c r="W16" s="100"/>
      <c r="X16" s="83">
        <v>46002</v>
      </c>
      <c r="Y16" s="72" t="str">
        <f t="array" ref="Y16" ca="1">_xlfn.SWITCH(TRUE,ISNUMBER(Q16)*Q16&gt;J16,"逾期完成",ISNUMBER(Q16),"按期完成",J16&gt;TODAY(),"待完成","逾期未完成")</f>
        <v>按期完成</v>
      </c>
      <c r="Z16" s="72" t="str">
        <f t="array" ref="Z16" ca="1">_xlfn.SWITCH(TRUE,ISNUMBER(R16)*R16&gt;K16,"逾期完成",ISNUMBER(R16),"按期完成",K16&gt;TODAY(),"待完成","逾期未完成")</f>
        <v>按期完成</v>
      </c>
      <c r="AA16" s="73" t="str">
        <f t="array" ref="AA16" ca="1">_xlfn.SWITCH(TRUE,ISNUMBER(S16)*S16&gt;L16,"逾期完成",ISNUMBER(S16),"按期完成",L16&gt;TODAY(),"待完成","逾期未完成")</f>
        <v>按期完成</v>
      </c>
      <c r="AB16" s="73" t="str">
        <f t="array" ref="AB16" ca="1">_xlfn.SWITCH(TRUE,ISNUMBER(T16)*T16&gt;M16,"逾期完成",ISNUMBER(T16),"按期完成",M16&gt;TODAY(),"待完成","逾期未完成")</f>
        <v>逾期完成</v>
      </c>
      <c r="AC16" s="73" t="str">
        <f t="array" ref="AC16" ca="1">_xlfn.SWITCH(TRUE,ISNUMBER(U16)*U16&gt;N16,"逾期完成",ISNUMBER(U16),"按期完成",N16&gt;TODAY(),"待完成","逾期未完成")</f>
        <v>逾期未完成</v>
      </c>
      <c r="AD16" s="73" t="str">
        <f t="array" ref="AD16" ca="1">_xlfn.SWITCH(TRUE,ISNUMBER(V16)*V16&gt;O16,"逾期完成",ISNUMBER(V16),"按期完成",O16&gt;TODAY(),"待完成","逾期未完成")</f>
        <v>逾期未完成</v>
      </c>
      <c r="AE16" s="73" t="str">
        <f t="shared" si="2"/>
        <v>已获证</v>
      </c>
      <c r="AF16" s="73" t="str">
        <f t="array" ref="AF16" ca="1">_xlfn.SWITCH(TRUE,ISNUMBER(W16)*W16&gt;P16,"逾期完成",ISNUMBER(W16),"按期完成",P16&gt;TODAY(),"待完成","逾期未完成")</f>
        <v>逾期未完成</v>
      </c>
      <c r="AG16" s="73" t="s">
        <v>68</v>
      </c>
      <c r="AH16" s="74"/>
      <c r="AI16" s="75"/>
      <c r="AJ16" s="76" t="s">
        <v>47</v>
      </c>
      <c r="AK16" s="76" t="s">
        <v>89</v>
      </c>
      <c r="AL16" s="77" t="s">
        <v>60</v>
      </c>
      <c r="AM16" s="78" t="str">
        <f t="shared" ca="1" si="3"/>
        <v>批产,逾期</v>
      </c>
      <c r="AN16" s="78" t="str">
        <f t="shared" ca="1" si="4"/>
        <v>批产开始（已超期77天）</v>
      </c>
      <c r="AO16" s="66"/>
      <c r="AP16" s="66"/>
    </row>
    <row r="17" spans="1:42" ht="16.5">
      <c r="A17" s="61">
        <v>21</v>
      </c>
      <c r="B17" s="61" t="s">
        <v>78</v>
      </c>
      <c r="C17" s="61">
        <v>10102017</v>
      </c>
      <c r="D17" s="62"/>
      <c r="E17" s="61" t="s">
        <v>92</v>
      </c>
      <c r="F17" s="63" t="s">
        <v>93</v>
      </c>
      <c r="G17" s="64">
        <v>1</v>
      </c>
      <c r="H17" s="65" t="s">
        <v>45</v>
      </c>
      <c r="I17" s="61" t="s">
        <v>45</v>
      </c>
      <c r="J17" s="66">
        <v>45960</v>
      </c>
      <c r="K17" s="66">
        <f t="shared" si="5"/>
        <v>46020</v>
      </c>
      <c r="L17" s="67">
        <v>46063</v>
      </c>
      <c r="M17" s="67">
        <v>46101</v>
      </c>
      <c r="N17" s="68">
        <v>46101</v>
      </c>
      <c r="O17" s="68">
        <f t="shared" si="1"/>
        <v>46172</v>
      </c>
      <c r="P17" s="68">
        <v>46172</v>
      </c>
      <c r="Q17" s="70">
        <v>45916</v>
      </c>
      <c r="R17" s="66">
        <v>45975</v>
      </c>
      <c r="S17" s="66">
        <v>46051</v>
      </c>
      <c r="T17" s="66">
        <v>46115</v>
      </c>
      <c r="U17" s="66"/>
      <c r="V17" s="66"/>
      <c r="W17" s="71"/>
      <c r="X17" s="66">
        <v>46002</v>
      </c>
      <c r="Y17" s="72" t="str">
        <f t="array" ref="Y17" ca="1">_xlfn.SWITCH(TRUE,ISNUMBER(Q17)*Q17&gt;J17,"逾期完成",ISNUMBER(Q17),"按期完成",J17&gt;TODAY(),"待完成","逾期未完成")</f>
        <v>按期完成</v>
      </c>
      <c r="Z17" s="72" t="str">
        <f t="array" ref="Z17" ca="1">_xlfn.SWITCH(TRUE,ISNUMBER(R17)*R17&gt;K17,"逾期完成",ISNUMBER(R17),"按期完成",K17&gt;TODAY(),"待完成","逾期未完成")</f>
        <v>按期完成</v>
      </c>
      <c r="AA17" s="73" t="str">
        <f t="array" ref="AA17" ca="1">_xlfn.SWITCH(TRUE,ISNUMBER(S17)*S17&gt;L17,"逾期完成",ISNUMBER(S17),"按期完成",L17&gt;TODAY(),"待完成","逾期未完成")</f>
        <v>按期完成</v>
      </c>
      <c r="AB17" s="73" t="str">
        <f t="array" ref="AB17" ca="1">_xlfn.SWITCH(TRUE,ISNUMBER(T17)*T17&gt;M17,"逾期完成",ISNUMBER(T17),"按期完成",M17&gt;TODAY(),"待完成","逾期未完成")</f>
        <v>逾期完成</v>
      </c>
      <c r="AC17" s="73" t="str">
        <f t="array" ref="AC17" ca="1">_xlfn.SWITCH(TRUE,ISNUMBER(U17)*U17&gt;N17,"逾期完成",ISNUMBER(U17),"按期完成",N17&gt;TODAY(),"待完成","逾期未完成")</f>
        <v>逾期未完成</v>
      </c>
      <c r="AD17" s="73" t="str">
        <f t="array" ref="AD17" ca="1">_xlfn.SWITCH(TRUE,ISNUMBER(V17)*V17&gt;O17,"逾期完成",ISNUMBER(V17),"按期完成",O17&gt;TODAY(),"待完成","逾期未完成")</f>
        <v>逾期未完成</v>
      </c>
      <c r="AE17" s="73" t="str">
        <f t="shared" si="2"/>
        <v>已获证</v>
      </c>
      <c r="AF17" s="73" t="str">
        <f t="array" ref="AF17" ca="1">_xlfn.SWITCH(TRUE,ISNUMBER(W17)*W17&gt;P17,"逾期完成",ISNUMBER(W17),"按期完成",P17&gt;TODAY(),"待完成","逾期未完成")</f>
        <v>逾期未完成</v>
      </c>
      <c r="AG17" s="73" t="s">
        <v>68</v>
      </c>
      <c r="AH17" s="74"/>
      <c r="AI17" s="75"/>
      <c r="AJ17" s="76" t="s">
        <v>47</v>
      </c>
      <c r="AK17" s="76" t="s">
        <v>89</v>
      </c>
      <c r="AL17" s="77" t="s">
        <v>60</v>
      </c>
      <c r="AM17" s="78" t="str">
        <f t="shared" ca="1" si="3"/>
        <v>批产,逾期</v>
      </c>
      <c r="AN17" s="78" t="str">
        <f t="shared" ca="1" si="4"/>
        <v>批产开始（已超期77天）</v>
      </c>
      <c r="AO17" s="66"/>
      <c r="AP17" s="66"/>
    </row>
    <row r="18" spans="1:42" ht="16.5">
      <c r="A18" s="61">
        <v>22</v>
      </c>
      <c r="B18" s="80" t="s">
        <v>78</v>
      </c>
      <c r="C18" s="80">
        <v>10102018</v>
      </c>
      <c r="D18" s="62"/>
      <c r="E18" s="80" t="s">
        <v>92</v>
      </c>
      <c r="F18" s="81" t="s">
        <v>94</v>
      </c>
      <c r="G18" s="99">
        <v>1</v>
      </c>
      <c r="H18" s="82" t="s">
        <v>45</v>
      </c>
      <c r="I18" s="80" t="s">
        <v>45</v>
      </c>
      <c r="J18" s="83">
        <v>45960</v>
      </c>
      <c r="K18" s="83">
        <f t="shared" si="5"/>
        <v>46020</v>
      </c>
      <c r="L18" s="84">
        <v>46063</v>
      </c>
      <c r="M18" s="84">
        <v>46101</v>
      </c>
      <c r="N18" s="68">
        <v>46101</v>
      </c>
      <c r="O18" s="68">
        <f t="shared" si="1"/>
        <v>46172</v>
      </c>
      <c r="P18" s="68">
        <v>46172</v>
      </c>
      <c r="Q18" s="93">
        <v>45916</v>
      </c>
      <c r="R18" s="83">
        <v>45975</v>
      </c>
      <c r="S18" s="83">
        <v>46051</v>
      </c>
      <c r="T18" s="83">
        <v>46115</v>
      </c>
      <c r="U18" s="83"/>
      <c r="V18" s="83"/>
      <c r="W18" s="100"/>
      <c r="X18" s="83">
        <v>46002</v>
      </c>
      <c r="Y18" s="72" t="str">
        <f t="array" ref="Y18" ca="1">_xlfn.SWITCH(TRUE,ISNUMBER(Q18)*Q18&gt;J18,"逾期完成",ISNUMBER(Q18),"按期完成",J18&gt;TODAY(),"待完成","逾期未完成")</f>
        <v>按期完成</v>
      </c>
      <c r="Z18" s="72" t="str">
        <f t="array" ref="Z18" ca="1">_xlfn.SWITCH(TRUE,ISNUMBER(R18)*R18&gt;K18,"逾期完成",ISNUMBER(R18),"按期完成",K18&gt;TODAY(),"待完成","逾期未完成")</f>
        <v>按期完成</v>
      </c>
      <c r="AA18" s="73" t="str">
        <f t="array" ref="AA18" ca="1">_xlfn.SWITCH(TRUE,ISNUMBER(S18)*S18&gt;L18,"逾期完成",ISNUMBER(S18),"按期完成",L18&gt;TODAY(),"待完成","逾期未完成")</f>
        <v>按期完成</v>
      </c>
      <c r="AB18" s="73" t="str">
        <f t="array" ref="AB18" ca="1">_xlfn.SWITCH(TRUE,ISNUMBER(T18)*T18&gt;M18,"逾期完成",ISNUMBER(T18),"按期完成",M18&gt;TODAY(),"待完成","逾期未完成")</f>
        <v>逾期完成</v>
      </c>
      <c r="AC18" s="73" t="str">
        <f t="array" ref="AC18" ca="1">_xlfn.SWITCH(TRUE,ISNUMBER(U18)*U18&gt;N18,"逾期完成",ISNUMBER(U18),"按期完成",N18&gt;TODAY(),"待完成","逾期未完成")</f>
        <v>逾期未完成</v>
      </c>
      <c r="AD18" s="73" t="str">
        <f t="array" ref="AD18" ca="1">_xlfn.SWITCH(TRUE,ISNUMBER(V18)*V18&gt;O18,"逾期完成",ISNUMBER(V18),"按期完成",O18&gt;TODAY(),"待完成","逾期未完成")</f>
        <v>逾期未完成</v>
      </c>
      <c r="AE18" s="73" t="str">
        <f t="shared" si="2"/>
        <v>已获证</v>
      </c>
      <c r="AF18" s="73" t="str">
        <f t="array" ref="AF18" ca="1">_xlfn.SWITCH(TRUE,ISNUMBER(W18)*W18&gt;P18,"逾期完成",ISNUMBER(W18),"按期完成",P18&gt;TODAY(),"待完成","逾期未完成")</f>
        <v>逾期未完成</v>
      </c>
      <c r="AG18" s="73" t="s">
        <v>68</v>
      </c>
      <c r="AH18" s="74"/>
      <c r="AI18" s="75"/>
      <c r="AJ18" s="76" t="s">
        <v>47</v>
      </c>
      <c r="AK18" s="76" t="s">
        <v>89</v>
      </c>
      <c r="AL18" s="77" t="s">
        <v>60</v>
      </c>
      <c r="AM18" s="78" t="str">
        <f t="shared" ca="1" si="3"/>
        <v>批产,逾期</v>
      </c>
      <c r="AN18" s="78" t="str">
        <f t="shared" ca="1" si="4"/>
        <v>批产开始（已超期77天）</v>
      </c>
      <c r="AO18" s="66"/>
      <c r="AP18" s="66"/>
    </row>
    <row r="19" spans="1:42" ht="16.5">
      <c r="A19" s="61">
        <v>18</v>
      </c>
      <c r="B19" s="80" t="s">
        <v>78</v>
      </c>
      <c r="C19" s="80">
        <v>10101401</v>
      </c>
      <c r="D19" s="62"/>
      <c r="E19" s="80" t="s">
        <v>95</v>
      </c>
      <c r="F19" s="81" t="s">
        <v>96</v>
      </c>
      <c r="G19" s="99">
        <v>1</v>
      </c>
      <c r="H19" s="82" t="s">
        <v>45</v>
      </c>
      <c r="I19" s="80" t="s">
        <v>45</v>
      </c>
      <c r="J19" s="83">
        <v>45960</v>
      </c>
      <c r="K19" s="83">
        <f t="shared" si="5"/>
        <v>46063</v>
      </c>
      <c r="L19" s="84">
        <v>46063</v>
      </c>
      <c r="M19" s="84">
        <v>46101</v>
      </c>
      <c r="N19" s="68">
        <v>46101</v>
      </c>
      <c r="O19" s="68">
        <f t="shared" si="1"/>
        <v>46172</v>
      </c>
      <c r="P19" s="68">
        <v>46172</v>
      </c>
      <c r="Q19" s="93">
        <v>46003</v>
      </c>
      <c r="R19" s="83">
        <v>46058</v>
      </c>
      <c r="S19" s="83">
        <v>46051</v>
      </c>
      <c r="T19" s="83">
        <v>46115</v>
      </c>
      <c r="U19" s="83"/>
      <c r="V19" s="83"/>
      <c r="W19" s="100"/>
      <c r="X19" s="102">
        <v>45741</v>
      </c>
      <c r="Y19" s="72" t="str">
        <f t="array" ref="Y19" ca="1">_xlfn.SWITCH(TRUE,ISNUMBER(Q19)*Q19&gt;J19,"逾期完成",ISNUMBER(Q19),"按期完成",J19&gt;TODAY(),"待完成","逾期未完成")</f>
        <v>逾期完成</v>
      </c>
      <c r="Z19" s="72" t="str">
        <f t="array" ref="Z19" ca="1">_xlfn.SWITCH(TRUE,ISNUMBER(R19)*R19&gt;K19,"逾期完成",ISNUMBER(R19),"按期完成",K19&gt;TODAY(),"待完成","逾期未完成")</f>
        <v>按期完成</v>
      </c>
      <c r="AA19" s="73" t="str">
        <f t="array" ref="AA19" ca="1">_xlfn.SWITCH(TRUE,ISNUMBER(S19)*S19&gt;L19,"逾期完成",ISNUMBER(S19),"按期完成",L19&gt;TODAY(),"待完成","逾期未完成")</f>
        <v>按期完成</v>
      </c>
      <c r="AB19" s="73" t="str">
        <f t="array" ref="AB19" ca="1">_xlfn.SWITCH(TRUE,ISNUMBER(T19)*T19&gt;M19,"逾期完成",ISNUMBER(T19),"按期完成",M19&gt;TODAY(),"待完成","逾期未完成")</f>
        <v>逾期完成</v>
      </c>
      <c r="AC19" s="73" t="str">
        <f t="array" ref="AC19" ca="1">_xlfn.SWITCH(TRUE,ISNUMBER(U19)*U19&gt;N19,"逾期完成",ISNUMBER(U19),"按期完成",N19&gt;TODAY(),"待完成","逾期未完成")</f>
        <v>逾期未完成</v>
      </c>
      <c r="AD19" s="73" t="str">
        <f t="array" ref="AD19" ca="1">_xlfn.SWITCH(TRUE,ISNUMBER(V19)*V19&gt;O19,"逾期完成",ISNUMBER(V19),"按期完成",O19&gt;TODAY(),"待完成","逾期未完成")</f>
        <v>逾期未完成</v>
      </c>
      <c r="AE19" s="73" t="str">
        <f t="shared" si="2"/>
        <v>已获证</v>
      </c>
      <c r="AF19" s="73" t="str">
        <f t="array" ref="AF19" ca="1">_xlfn.SWITCH(TRUE,ISNUMBER(W19)*W19&gt;P19,"逾期完成",ISNUMBER(W19),"按期完成",P19&gt;TODAY(),"待完成","逾期未完成")</f>
        <v>逾期未完成</v>
      </c>
      <c r="AG19" s="73" t="s">
        <v>68</v>
      </c>
      <c r="AH19" s="74"/>
      <c r="AI19" s="75"/>
      <c r="AJ19" s="76" t="s">
        <v>47</v>
      </c>
      <c r="AK19" s="76" t="s">
        <v>97</v>
      </c>
      <c r="AL19" s="77" t="s">
        <v>60</v>
      </c>
      <c r="AM19" s="78" t="str">
        <f t="shared" ca="1" si="3"/>
        <v>批产,逾期</v>
      </c>
      <c r="AN19" s="78" t="str">
        <f t="shared" ca="1" si="4"/>
        <v>批产开始（已超期77天）</v>
      </c>
      <c r="AO19" s="66"/>
      <c r="AP19" s="66"/>
    </row>
    <row r="20" spans="1:42" ht="16.5">
      <c r="A20" s="61">
        <v>46</v>
      </c>
      <c r="B20" s="61" t="s">
        <v>98</v>
      </c>
      <c r="C20" s="61">
        <v>10401549</v>
      </c>
      <c r="D20" s="62"/>
      <c r="E20" s="65" t="s">
        <v>99</v>
      </c>
      <c r="F20" s="63" t="s">
        <v>100</v>
      </c>
      <c r="G20" s="61">
        <v>1</v>
      </c>
      <c r="H20" s="65" t="s">
        <v>45</v>
      </c>
      <c r="I20" s="61" t="s">
        <v>45</v>
      </c>
      <c r="J20" s="96">
        <v>45981</v>
      </c>
      <c r="K20" s="103">
        <v>46063</v>
      </c>
      <c r="L20" s="103">
        <v>46042</v>
      </c>
      <c r="M20" s="103">
        <v>46073</v>
      </c>
      <c r="N20" s="68">
        <v>46073</v>
      </c>
      <c r="O20" s="68">
        <f t="shared" si="1"/>
        <v>46143</v>
      </c>
      <c r="P20" s="68">
        <v>46143</v>
      </c>
      <c r="Q20" s="104">
        <v>45975</v>
      </c>
      <c r="R20" s="96">
        <v>46055</v>
      </c>
      <c r="S20" s="96">
        <v>46048</v>
      </c>
      <c r="T20" s="96">
        <v>46058</v>
      </c>
      <c r="U20" s="66"/>
      <c r="V20" s="66"/>
      <c r="W20" s="105"/>
      <c r="X20" s="96">
        <v>46083</v>
      </c>
      <c r="Y20" s="72" t="str">
        <f t="array" ref="Y20" ca="1">_xlfn.SWITCH(TRUE,ISNUMBER(Q20)*Q20&gt;J20,"逾期完成",ISNUMBER(Q20),"按期完成",J20&gt;TODAY(),"待完成","逾期未完成")</f>
        <v>按期完成</v>
      </c>
      <c r="Z20" s="72" t="str">
        <f t="array" ref="Z20" ca="1">_xlfn.SWITCH(TRUE,ISNUMBER(R20)*R20&gt;K20,"逾期完成",ISNUMBER(R20),"按期完成",K20&gt;TODAY(),"待完成","逾期未完成")</f>
        <v>按期完成</v>
      </c>
      <c r="AA20" s="73" t="str">
        <f t="array" ref="AA20" ca="1">_xlfn.SWITCH(TRUE,ISNUMBER(S20)*S20&gt;L20,"逾期完成",ISNUMBER(S20),"按期完成",L20&gt;TODAY(),"待完成","逾期未完成")</f>
        <v>逾期完成</v>
      </c>
      <c r="AB20" s="73" t="str">
        <f t="array" ref="AB20" ca="1">_xlfn.SWITCH(TRUE,ISNUMBER(T20)*T20&gt;M20,"逾期完成",ISNUMBER(T20),"按期完成",M20&gt;TODAY(),"待完成","逾期未完成")</f>
        <v>按期完成</v>
      </c>
      <c r="AC20" s="73" t="str">
        <f t="array" ref="AC20" ca="1">_xlfn.SWITCH(TRUE,ISNUMBER(U20)*U20&gt;N20,"逾期完成",ISNUMBER(U20),"按期完成",N20&gt;TODAY(),"待完成","逾期未完成")</f>
        <v>逾期未完成</v>
      </c>
      <c r="AD20" s="73" t="str">
        <f t="array" ref="AD20" ca="1">_xlfn.SWITCH(TRUE,ISNUMBER(V20)*V20&gt;O20,"逾期完成",ISNUMBER(V20),"按期完成",O20&gt;TODAY(),"待完成","逾期未完成")</f>
        <v>逾期未完成</v>
      </c>
      <c r="AE20" s="73" t="str">
        <f t="shared" si="2"/>
        <v>已获证</v>
      </c>
      <c r="AF20" s="73" t="str">
        <f t="array" ref="AF20" ca="1">_xlfn.SWITCH(TRUE,ISNUMBER(W20)*W20&gt;P20,"逾期完成",ISNUMBER(W20),"按期完成",P20&gt;TODAY(),"待完成","逾期未完成")</f>
        <v>逾期未完成</v>
      </c>
      <c r="AG20" s="73" t="s">
        <v>46</v>
      </c>
      <c r="AH20" s="74"/>
      <c r="AI20" s="75"/>
      <c r="AJ20" s="76" t="s">
        <v>47</v>
      </c>
      <c r="AK20" s="76" t="s">
        <v>101</v>
      </c>
      <c r="AL20" s="77" t="s">
        <v>60</v>
      </c>
      <c r="AM20" s="78" t="str">
        <f t="shared" ca="1" si="3"/>
        <v>批产,逾期</v>
      </c>
      <c r="AN20" s="78" t="str">
        <f t="shared" ca="1" si="4"/>
        <v>批产开始（已超期105天）</v>
      </c>
      <c r="AO20" s="79">
        <v>45778</v>
      </c>
      <c r="AP20" s="79">
        <v>46143</v>
      </c>
    </row>
    <row r="21" spans="1:42" ht="16.5">
      <c r="A21" s="61">
        <v>3</v>
      </c>
      <c r="B21" s="80" t="s">
        <v>55</v>
      </c>
      <c r="C21" s="87">
        <v>10101244</v>
      </c>
      <c r="D21" s="62"/>
      <c r="E21" s="87" t="s">
        <v>102</v>
      </c>
      <c r="F21" s="81" t="s">
        <v>103</v>
      </c>
      <c r="G21" s="80">
        <v>1</v>
      </c>
      <c r="H21" s="106" t="s">
        <v>45</v>
      </c>
      <c r="I21" s="87" t="s">
        <v>45</v>
      </c>
      <c r="J21" s="83">
        <v>45991</v>
      </c>
      <c r="K21" s="83">
        <f>(MAX(J21,Q21)+60)</f>
        <v>46051</v>
      </c>
      <c r="L21" s="83">
        <f>MAX(J21,Q21)+30</f>
        <v>46021</v>
      </c>
      <c r="M21" s="84">
        <v>46052</v>
      </c>
      <c r="N21" s="84">
        <v>46054</v>
      </c>
      <c r="O21" s="83">
        <f t="shared" si="1"/>
        <v>46022</v>
      </c>
      <c r="P21" s="92">
        <v>46022</v>
      </c>
      <c r="Q21" s="93">
        <v>45856</v>
      </c>
      <c r="R21" s="83">
        <v>45940</v>
      </c>
      <c r="S21" s="83">
        <v>46006</v>
      </c>
      <c r="T21" s="83">
        <v>46010</v>
      </c>
      <c r="U21" s="86"/>
      <c r="V21" s="86"/>
      <c r="W21" s="95"/>
      <c r="X21" s="86">
        <v>45971</v>
      </c>
      <c r="Y21" s="72" t="str">
        <f t="array" ref="Y21" ca="1">_xlfn.SWITCH(TRUE,ISNUMBER(Q21)*Q21&gt;J21,"逾期完成",ISNUMBER(Q21),"按期完成",J21&gt;TODAY(),"待完成","逾期未完成")</f>
        <v>按期完成</v>
      </c>
      <c r="Z21" s="72" t="str">
        <f t="array" ref="Z21" ca="1">_xlfn.SWITCH(TRUE,ISNUMBER(R21)*R21&gt;K21,"逾期完成",ISNUMBER(R21),"按期完成",K21&gt;TODAY(),"待完成","逾期未完成")</f>
        <v>按期完成</v>
      </c>
      <c r="AA21" s="72" t="str">
        <f t="array" ref="AA21" ca="1">_xlfn.SWITCH(TRUE,ISNUMBER(S21)*S21&gt;L21,"逾期完成",ISNUMBER(S21),"按期完成",L21&gt;TODAY(),"待完成","逾期未完成")</f>
        <v>按期完成</v>
      </c>
      <c r="AB21" s="72" t="str">
        <f t="array" ref="AB21" ca="1">_xlfn.SWITCH(TRUE,ISNUMBER(T21)*T21&gt;M21,"逾期完成",ISNUMBER(T21),"按期完成",M21&gt;TODAY(),"待完成","逾期未完成")</f>
        <v>按期完成</v>
      </c>
      <c r="AC21" s="72" t="str">
        <f t="array" ref="AC21" ca="1">_xlfn.SWITCH(TRUE,ISNUMBER(U21)*U21&gt;N21,"逾期完成",ISNUMBER(U21),"按期完成",N21&gt;TODAY(),"待完成","逾期未完成")</f>
        <v>逾期未完成</v>
      </c>
      <c r="AD21" s="72" t="str">
        <f t="array" ref="AD21" ca="1">_xlfn.SWITCH(TRUE,ISNUMBER(V21)*V21&gt;O21,"逾期完成",ISNUMBER(V21),"按期完成",O21&gt;TODAY(),"待完成","逾期未完成")</f>
        <v>逾期未完成</v>
      </c>
      <c r="AE21" s="73" t="str">
        <f t="shared" si="2"/>
        <v>已获证</v>
      </c>
      <c r="AF21" s="73" t="str">
        <f t="array" ref="AF21" ca="1">_xlfn.SWITCH(TRUE,ISNUMBER(W21)*W21&gt;P21,"逾期完成",ISNUMBER(W21),"按期完成",P21&gt;TODAY(),"待完成","逾期未完成")</f>
        <v>逾期未完成</v>
      </c>
      <c r="AG21" s="73" t="s">
        <v>46</v>
      </c>
      <c r="AH21" s="74">
        <v>0</v>
      </c>
      <c r="AI21" s="75"/>
      <c r="AJ21" s="76" t="s">
        <v>47</v>
      </c>
      <c r="AK21" s="76" t="s">
        <v>104</v>
      </c>
      <c r="AL21" s="77" t="s">
        <v>60</v>
      </c>
      <c r="AM21" s="78" t="str">
        <f t="shared" ca="1" si="3"/>
        <v>批产,逾期</v>
      </c>
      <c r="AN21" s="78" t="str">
        <f t="shared" ca="1" si="4"/>
        <v>批产开始（已超期124天）</v>
      </c>
      <c r="AO21" s="66">
        <v>45992</v>
      </c>
      <c r="AP21" s="66">
        <v>46357</v>
      </c>
    </row>
    <row r="22" spans="1:42" ht="16.5">
      <c r="A22" s="61">
        <v>9</v>
      </c>
      <c r="B22" s="62" t="s">
        <v>55</v>
      </c>
      <c r="C22" s="62"/>
      <c r="D22" s="62"/>
      <c r="E22" s="61" t="s">
        <v>105</v>
      </c>
      <c r="F22" s="107" t="s">
        <v>106</v>
      </c>
      <c r="G22" s="62">
        <v>2</v>
      </c>
      <c r="H22" s="365" t="s">
        <v>107</v>
      </c>
      <c r="I22" s="62" t="s">
        <v>108</v>
      </c>
      <c r="J22" s="108">
        <v>45991</v>
      </c>
      <c r="K22" s="108">
        <f>(MAX(J22,Q22)+60)</f>
        <v>46051</v>
      </c>
      <c r="L22" s="108">
        <f>MAX(J22,Q22)+30</f>
        <v>46021</v>
      </c>
      <c r="M22" s="109">
        <v>46052</v>
      </c>
      <c r="N22" s="68">
        <v>46052</v>
      </c>
      <c r="O22" s="68">
        <f t="shared" si="1"/>
        <v>46101</v>
      </c>
      <c r="P22" s="68">
        <v>46101</v>
      </c>
      <c r="Q22" s="110">
        <v>45856</v>
      </c>
      <c r="R22" s="108">
        <v>45966</v>
      </c>
      <c r="S22" s="108">
        <v>45976</v>
      </c>
      <c r="T22" s="108">
        <v>46048</v>
      </c>
      <c r="U22" s="108">
        <v>46007</v>
      </c>
      <c r="V22" s="108">
        <v>46023</v>
      </c>
      <c r="W22" s="108">
        <v>46023</v>
      </c>
      <c r="X22" s="108">
        <v>45988</v>
      </c>
      <c r="Y22" s="111" t="str">
        <f t="array" ref="Y22" ca="1">_xlfn.SWITCH(TRUE,ISNUMBER(Q22)*Q22&gt;J22,"逾期完成",ISNUMBER(Q22),"按期完成",J22&gt;TODAY(),"待完成","逾期未完成")</f>
        <v>按期完成</v>
      </c>
      <c r="Z22" s="111" t="str">
        <f t="array" ref="Z22" ca="1">_xlfn.SWITCH(TRUE,ISNUMBER(R22)*R22&gt;K22,"逾期完成",ISNUMBER(R22),"按期完成",K22&gt;TODAY(),"待完成","逾期未完成")</f>
        <v>按期完成</v>
      </c>
      <c r="AA22" s="111" t="str">
        <f t="array" ref="AA22" ca="1">_xlfn.SWITCH(TRUE,ISNUMBER(S22)*S22&gt;L22,"逾期完成",ISNUMBER(S22),"按期完成",L22&gt;TODAY(),"待完成","逾期未完成")</f>
        <v>按期完成</v>
      </c>
      <c r="AB22" s="111" t="str">
        <f t="array" ref="AB22" ca="1">_xlfn.SWITCH(TRUE,ISNUMBER(T22)*T22&gt;M22,"逾期完成",ISNUMBER(T22),"按期完成",M22&gt;TODAY(),"待完成","逾期未完成")</f>
        <v>按期完成</v>
      </c>
      <c r="AC22" s="111" t="str">
        <f t="array" ref="AC22" ca="1">_xlfn.SWITCH(TRUE,ISNUMBER(U22)*U22&gt;N22,"逾期完成",ISNUMBER(U22),"按期完成",N22&gt;TODAY(),"待完成","逾期未完成")</f>
        <v>按期完成</v>
      </c>
      <c r="AD22" s="111" t="str">
        <f t="array" ref="AD22" ca="1">_xlfn.SWITCH(TRUE,ISNUMBER(V22)*V22&gt;O22,"逾期完成",ISNUMBER(V22),"按期完成",O22&gt;TODAY(),"待完成","逾期未完成")</f>
        <v>按期完成</v>
      </c>
      <c r="AE22" s="112" t="str">
        <f t="shared" si="2"/>
        <v>已获证</v>
      </c>
      <c r="AF22" s="111" t="str">
        <f t="array" ref="AF22" ca="1">_xlfn.SWITCH(TRUE,ISNUMBER(W22)*W22&gt;P22,"逾期完成",ISNUMBER(W22),"按期完成",P22&gt;TODAY(),"待完成","逾期未完成")</f>
        <v>按期完成</v>
      </c>
      <c r="AG22" s="112" t="s">
        <v>46</v>
      </c>
      <c r="AH22" s="74">
        <v>0</v>
      </c>
      <c r="AI22" s="75"/>
      <c r="AJ22" s="65" t="s">
        <v>47</v>
      </c>
      <c r="AK22" s="76" t="s">
        <v>84</v>
      </c>
      <c r="AL22" s="77" t="s">
        <v>60</v>
      </c>
      <c r="AM22" s="78" t="str">
        <f t="shared" ca="1" si="3"/>
        <v>批产,按期</v>
      </c>
      <c r="AN22" s="78" t="str">
        <f t="shared" ca="1" si="4"/>
        <v>已完成所有阶段</v>
      </c>
      <c r="AO22" s="66">
        <v>45992</v>
      </c>
      <c r="AP22" s="98">
        <v>46357</v>
      </c>
    </row>
    <row r="23" spans="1:42" ht="16.5">
      <c r="A23" s="61">
        <v>15</v>
      </c>
      <c r="B23" s="61" t="s">
        <v>78</v>
      </c>
      <c r="C23" s="61">
        <v>10101409</v>
      </c>
      <c r="D23" s="62"/>
      <c r="E23" s="61" t="s">
        <v>109</v>
      </c>
      <c r="F23" s="63" t="s">
        <v>110</v>
      </c>
      <c r="G23" s="64">
        <v>1</v>
      </c>
      <c r="H23" s="65" t="s">
        <v>45</v>
      </c>
      <c r="I23" s="61" t="s">
        <v>45</v>
      </c>
      <c r="J23" s="66">
        <v>45991</v>
      </c>
      <c r="K23" s="66">
        <f>(MAX(J23,Q23)+60)</f>
        <v>46051</v>
      </c>
      <c r="L23" s="67">
        <v>46063</v>
      </c>
      <c r="M23" s="67">
        <v>46101</v>
      </c>
      <c r="N23" s="68">
        <v>46101</v>
      </c>
      <c r="O23" s="68">
        <f t="shared" si="1"/>
        <v>46172</v>
      </c>
      <c r="P23" s="68">
        <v>46172</v>
      </c>
      <c r="Q23" s="70">
        <v>45966</v>
      </c>
      <c r="R23" s="66">
        <v>46079</v>
      </c>
      <c r="S23" s="66">
        <v>46051</v>
      </c>
      <c r="T23" s="66">
        <v>46122</v>
      </c>
      <c r="U23" s="66"/>
      <c r="V23" s="66"/>
      <c r="W23" s="71"/>
      <c r="X23" s="66">
        <v>45741</v>
      </c>
      <c r="Y23" s="72" t="str">
        <f t="array" ref="Y23" ca="1">_xlfn.SWITCH(TRUE,ISNUMBER(Q23)*Q23&gt;J23,"逾期完成",ISNUMBER(Q23),"按期完成",J23&gt;TODAY(),"待完成","逾期未完成")</f>
        <v>按期完成</v>
      </c>
      <c r="Z23" s="72" t="str">
        <f t="array" ref="Z23" ca="1">_xlfn.SWITCH(TRUE,ISNUMBER(R23)*R23&gt;K23,"逾期完成",ISNUMBER(R23),"按期完成",K23&gt;TODAY(),"待完成","逾期未完成")</f>
        <v>逾期完成</v>
      </c>
      <c r="AA23" s="73" t="str">
        <f t="array" ref="AA23" ca="1">_xlfn.SWITCH(TRUE,ISNUMBER(S23)*S23&gt;L23,"逾期完成",ISNUMBER(S23),"按期完成",L23&gt;TODAY(),"待完成","逾期未完成")</f>
        <v>按期完成</v>
      </c>
      <c r="AB23" s="73" t="str">
        <f t="array" ref="AB23" ca="1">_xlfn.SWITCH(TRUE,ISNUMBER(T23)*T23&gt;M23,"逾期完成",ISNUMBER(T23),"按期完成",M23&gt;TODAY(),"待完成","逾期未完成")</f>
        <v>逾期完成</v>
      </c>
      <c r="AC23" s="73" t="str">
        <f t="array" ref="AC23" ca="1">_xlfn.SWITCH(TRUE,ISNUMBER(U23)*U23&gt;N23,"逾期完成",ISNUMBER(U23),"按期完成",N23&gt;TODAY(),"待完成","逾期未完成")</f>
        <v>逾期未完成</v>
      </c>
      <c r="AD23" s="73" t="str">
        <f t="array" ref="AD23" ca="1">_xlfn.SWITCH(TRUE,ISNUMBER(V23)*V23&gt;O23,"逾期完成",ISNUMBER(V23),"按期完成",O23&gt;TODAY(),"待完成","逾期未完成")</f>
        <v>逾期未完成</v>
      </c>
      <c r="AE23" s="73" t="str">
        <f t="shared" si="2"/>
        <v>已获证</v>
      </c>
      <c r="AF23" s="73" t="str">
        <f t="array" ref="AF23" ca="1">_xlfn.SWITCH(TRUE,ISNUMBER(W23)*W23&gt;P23,"逾期完成",ISNUMBER(W23),"按期完成",P23&gt;TODAY(),"待完成","逾期未完成")</f>
        <v>逾期未完成</v>
      </c>
      <c r="AG23" s="73" t="s">
        <v>68</v>
      </c>
      <c r="AH23" s="74"/>
      <c r="AI23" s="75"/>
      <c r="AJ23" s="76" t="s">
        <v>47</v>
      </c>
      <c r="AK23" s="76" t="s">
        <v>104</v>
      </c>
      <c r="AL23" s="77" t="s">
        <v>60</v>
      </c>
      <c r="AM23" s="78" t="str">
        <f t="shared" ca="1" si="3"/>
        <v>批产,逾期</v>
      </c>
      <c r="AN23" s="78" t="str">
        <f t="shared" ca="1" si="4"/>
        <v>批产开始（已超期77天）</v>
      </c>
      <c r="AO23" s="66">
        <v>45992</v>
      </c>
      <c r="AP23" s="66">
        <v>46357</v>
      </c>
    </row>
    <row r="24" spans="1:42" ht="16.5">
      <c r="A24" s="61">
        <v>2</v>
      </c>
      <c r="B24" s="61" t="s">
        <v>55</v>
      </c>
      <c r="C24" s="61">
        <v>10101969</v>
      </c>
      <c r="D24" s="62"/>
      <c r="E24" s="61" t="s">
        <v>111</v>
      </c>
      <c r="F24" s="63" t="s">
        <v>112</v>
      </c>
      <c r="G24" s="64">
        <v>1</v>
      </c>
      <c r="H24" s="65">
        <v>10100810</v>
      </c>
      <c r="I24" s="61" t="s">
        <v>113</v>
      </c>
      <c r="J24" s="66">
        <v>46021</v>
      </c>
      <c r="K24" s="67">
        <v>46091</v>
      </c>
      <c r="L24" s="67">
        <v>46073</v>
      </c>
      <c r="M24" s="67">
        <v>46111</v>
      </c>
      <c r="N24" s="67">
        <v>46113</v>
      </c>
      <c r="O24" s="66">
        <f t="shared" si="1"/>
        <v>46172</v>
      </c>
      <c r="P24" s="96">
        <v>46172</v>
      </c>
      <c r="Q24" s="70">
        <v>46018</v>
      </c>
      <c r="R24" s="66">
        <v>46142</v>
      </c>
      <c r="S24" s="66">
        <v>46098</v>
      </c>
      <c r="T24" s="66">
        <v>46139</v>
      </c>
      <c r="U24" s="66"/>
      <c r="V24" s="66"/>
      <c r="W24" s="113"/>
      <c r="X24" s="114">
        <v>46175</v>
      </c>
      <c r="Y24" s="72" t="str">
        <f t="array" ref="Y24" ca="1">_xlfn.SWITCH(TRUE,ISNUMBER(Q24)*Q24&gt;J24,"逾期完成",ISNUMBER(Q24),"按期完成",J24&gt;TODAY(),"待完成","逾期未完成")</f>
        <v>按期完成</v>
      </c>
      <c r="Z24" s="72" t="str">
        <f t="array" ref="Z24" ca="1">_xlfn.SWITCH(TRUE,ISNUMBER(R24)*R24&gt;K24,"逾期完成",ISNUMBER(R24),"按期完成",K24&gt;TODAY(),"待完成","逾期未完成")</f>
        <v>逾期完成</v>
      </c>
      <c r="AA24" s="73" t="str">
        <f t="array" ref="AA24" ca="1">_xlfn.SWITCH(TRUE,ISNUMBER(S24)*S24&gt;L24,"逾期完成",ISNUMBER(S24),"按期完成",L24&gt;TODAY(),"待完成","逾期未完成")</f>
        <v>逾期完成</v>
      </c>
      <c r="AB24" s="73" t="str">
        <f t="array" ref="AB24" ca="1">_xlfn.SWITCH(TRUE,ISNUMBER(T24)*T24&gt;M24,"逾期完成",ISNUMBER(T24),"按期完成",M24&gt;TODAY(),"待完成","逾期未完成")</f>
        <v>逾期完成</v>
      </c>
      <c r="AC24" s="73" t="str">
        <f t="array" ref="AC24" ca="1">_xlfn.SWITCH(TRUE,ISNUMBER(U24)*U24&gt;N24,"逾期完成",ISNUMBER(U24),"按期完成",N24&gt;TODAY(),"待完成","逾期未完成")</f>
        <v>逾期未完成</v>
      </c>
      <c r="AD24" s="73" t="str">
        <f t="array" ref="AD24" ca="1">_xlfn.SWITCH(TRUE,ISNUMBER(V24)*V24&gt;O24,"逾期完成",ISNUMBER(V24),"按期完成",O24&gt;TODAY(),"待完成","逾期未完成")</f>
        <v>逾期未完成</v>
      </c>
      <c r="AE24" s="73" t="str">
        <f t="shared" si="2"/>
        <v>已获证</v>
      </c>
      <c r="AF24" s="73" t="str">
        <f t="array" ref="AF24" ca="1">_xlfn.SWITCH(TRUE,ISNUMBER(W24)*W24&gt;P24,"逾期完成",ISNUMBER(W24),"按期完成",P24&gt;TODAY(),"待完成","逾期未完成")</f>
        <v>逾期未完成</v>
      </c>
      <c r="AG24" s="73" t="s">
        <v>68</v>
      </c>
      <c r="AH24" s="74"/>
      <c r="AI24" s="75"/>
      <c r="AJ24" s="76" t="s">
        <v>47</v>
      </c>
      <c r="AK24" s="76" t="s">
        <v>59</v>
      </c>
      <c r="AL24" s="77" t="s">
        <v>60</v>
      </c>
      <c r="AM24" s="78" t="str">
        <f t="shared" ca="1" si="3"/>
        <v>批产,逾期</v>
      </c>
      <c r="AN24" s="78" t="str">
        <f t="shared" ca="1" si="4"/>
        <v>批产开始（已超期65天）</v>
      </c>
      <c r="AO24" s="66">
        <v>45992</v>
      </c>
      <c r="AP24" s="66">
        <v>46357</v>
      </c>
    </row>
    <row r="25" spans="1:42" ht="16.5">
      <c r="A25" s="61">
        <v>11</v>
      </c>
      <c r="B25" s="115" t="s">
        <v>98</v>
      </c>
      <c r="C25" s="115"/>
      <c r="D25" s="62"/>
      <c r="E25" s="115" t="s">
        <v>114</v>
      </c>
      <c r="F25" s="116" t="s">
        <v>115</v>
      </c>
      <c r="G25" s="117">
        <v>9</v>
      </c>
      <c r="H25" s="115" t="s">
        <v>45</v>
      </c>
      <c r="I25" s="115" t="s">
        <v>45</v>
      </c>
      <c r="J25" s="118">
        <v>46021</v>
      </c>
      <c r="K25" s="118">
        <f>(MAX(J25,Q25)+60)</f>
        <v>46081</v>
      </c>
      <c r="L25" s="68">
        <v>46091</v>
      </c>
      <c r="M25" s="68">
        <v>46132</v>
      </c>
      <c r="N25" s="68">
        <v>46142</v>
      </c>
      <c r="O25" s="68">
        <f t="shared" si="1"/>
        <v>46172</v>
      </c>
      <c r="P25" s="68">
        <v>46172</v>
      </c>
      <c r="Q25" s="118">
        <v>46021</v>
      </c>
      <c r="R25" s="118">
        <v>46121</v>
      </c>
      <c r="S25" s="118">
        <v>46092</v>
      </c>
      <c r="T25" s="118">
        <f>VLOOKUP(F25,'中试细化（不考核研发）'!B:Q,16,FALSE)</f>
        <v>46161</v>
      </c>
      <c r="U25" s="118"/>
      <c r="V25" s="118"/>
      <c r="W25" s="119"/>
      <c r="X25" s="66">
        <v>46161</v>
      </c>
      <c r="Y25" s="72" t="str">
        <f t="array" ref="Y25" ca="1">_xlfn.SWITCH(TRUE,ISNUMBER(Q25)*Q25&gt;J25,"逾期完成",ISNUMBER(Q25),"按期完成",J25&gt;TODAY(),"待完成","逾期未完成")</f>
        <v>按期完成</v>
      </c>
      <c r="Z25" s="72" t="str">
        <f t="array" ref="Z25" ca="1">_xlfn.SWITCH(TRUE,ISNUMBER(R25)*R25&gt;K25,"逾期完成",ISNUMBER(R25),"按期完成",K25&gt;TODAY(),"待完成","逾期未完成")</f>
        <v>逾期完成</v>
      </c>
      <c r="AA25" s="73" t="str">
        <f t="array" ref="AA25" ca="1">_xlfn.SWITCH(TRUE,ISNUMBER(S25)*S25&gt;L25,"逾期完成",ISNUMBER(S25),"按期完成",L25&gt;TODAY(),"待完成","逾期未完成")</f>
        <v>逾期完成</v>
      </c>
      <c r="AB25" s="73" t="str">
        <f t="array" ref="AB25" ca="1">_xlfn.SWITCH(TRUE,ISNUMBER(T25)*T25&gt;M25,"逾期完成",ISNUMBER(T25),"按期完成",M25&gt;TODAY(),"待完成","逾期未完成")</f>
        <v>逾期完成</v>
      </c>
      <c r="AC25" s="73" t="str">
        <f t="array" ref="AC25" ca="1">_xlfn.SWITCH(TRUE,ISNUMBER(U25)*U25&gt;N25,"逾期完成",ISNUMBER(U25),"按期完成",N25&gt;TODAY(),"待完成","逾期未完成")</f>
        <v>逾期未完成</v>
      </c>
      <c r="AD25" s="73" t="str">
        <f t="array" ref="AD25" ca="1">_xlfn.SWITCH(TRUE,ISNUMBER(V25)*V25&gt;O25,"逾期完成",ISNUMBER(V25),"按期完成",O25&gt;TODAY(),"待完成","逾期未完成")</f>
        <v>逾期未完成</v>
      </c>
      <c r="AE25" s="73" t="str">
        <f t="shared" si="2"/>
        <v>已获证</v>
      </c>
      <c r="AF25" s="73" t="str">
        <f t="array" ref="AF25" ca="1">_xlfn.SWITCH(TRUE,ISNUMBER(W25)*W25&gt;P25,"逾期完成",ISNUMBER(W25),"按期完成",P25&gt;TODAY(),"待完成","逾期未完成")</f>
        <v>逾期未完成</v>
      </c>
      <c r="AG25" s="73" t="s">
        <v>68</v>
      </c>
      <c r="AH25" s="74"/>
      <c r="AI25" s="75"/>
      <c r="AJ25" s="76" t="s">
        <v>47</v>
      </c>
      <c r="AK25" s="76" t="s">
        <v>116</v>
      </c>
      <c r="AL25" s="77" t="s">
        <v>60</v>
      </c>
      <c r="AM25" s="78" t="str">
        <f t="shared" ca="1" si="3"/>
        <v>批产,逾期</v>
      </c>
      <c r="AN25" s="78" t="str">
        <f t="shared" ca="1" si="4"/>
        <v>批产开始（已超期36天）</v>
      </c>
      <c r="AO25" s="66">
        <v>45778</v>
      </c>
      <c r="AP25" s="98">
        <v>46143</v>
      </c>
    </row>
    <row r="26" spans="1:42" ht="16.5">
      <c r="A26" s="61">
        <v>23</v>
      </c>
      <c r="B26" s="61" t="s">
        <v>78</v>
      </c>
      <c r="C26" s="61">
        <v>10102013</v>
      </c>
      <c r="D26" s="62"/>
      <c r="E26" s="61" t="s">
        <v>117</v>
      </c>
      <c r="F26" s="63" t="s">
        <v>118</v>
      </c>
      <c r="G26" s="64">
        <v>1</v>
      </c>
      <c r="H26" s="65" t="s">
        <v>45</v>
      </c>
      <c r="I26" s="61" t="s">
        <v>45</v>
      </c>
      <c r="J26" s="66">
        <v>46021</v>
      </c>
      <c r="K26" s="67">
        <v>46101</v>
      </c>
      <c r="L26" s="67">
        <v>46101</v>
      </c>
      <c r="M26" s="67">
        <v>46132</v>
      </c>
      <c r="N26" s="68">
        <v>46132</v>
      </c>
      <c r="O26" s="68">
        <f t="shared" si="1"/>
        <v>46172</v>
      </c>
      <c r="P26" s="68">
        <v>46172</v>
      </c>
      <c r="Q26" s="70">
        <v>46000</v>
      </c>
      <c r="R26" s="66">
        <v>46084</v>
      </c>
      <c r="S26" s="66">
        <v>46098</v>
      </c>
      <c r="T26" s="66"/>
      <c r="U26" s="66"/>
      <c r="V26" s="66"/>
      <c r="W26" s="71"/>
      <c r="X26" s="66">
        <v>45741</v>
      </c>
      <c r="Y26" s="72" t="str">
        <f t="array" ref="Y26" ca="1">_xlfn.SWITCH(TRUE,ISNUMBER(Q26)*Q26&gt;J26,"逾期完成",ISNUMBER(Q26),"按期完成",J26&gt;TODAY(),"待完成","逾期未完成")</f>
        <v>按期完成</v>
      </c>
      <c r="Z26" s="72" t="str">
        <f t="array" ref="Z26" ca="1">_xlfn.SWITCH(TRUE,ISNUMBER(R26)*R26&gt;K26,"逾期完成",ISNUMBER(R26),"按期完成",K26&gt;TODAY(),"待完成","逾期未完成")</f>
        <v>按期完成</v>
      </c>
      <c r="AA26" s="73" t="str">
        <f t="array" ref="AA26" ca="1">_xlfn.SWITCH(TRUE,ISNUMBER(S26)*S26&gt;L26,"逾期完成",ISNUMBER(S26),"按期完成",L26&gt;TODAY(),"待完成","逾期未完成")</f>
        <v>按期完成</v>
      </c>
      <c r="AB26" s="73" t="str">
        <f t="array" ref="AB26" ca="1">_xlfn.SWITCH(TRUE,ISNUMBER(T26)*T26&gt;M26,"逾期完成",ISNUMBER(T26),"按期完成",M26&gt;TODAY(),"待完成","逾期未完成")</f>
        <v>逾期未完成</v>
      </c>
      <c r="AC26" s="73" t="str">
        <f t="array" ref="AC26" ca="1">_xlfn.SWITCH(TRUE,ISNUMBER(U26)*U26&gt;N26,"逾期完成",ISNUMBER(U26),"按期完成",N26&gt;TODAY(),"待完成","逾期未完成")</f>
        <v>逾期未完成</v>
      </c>
      <c r="AD26" s="73" t="str">
        <f t="array" ref="AD26" ca="1">_xlfn.SWITCH(TRUE,ISNUMBER(V26)*V26&gt;O26,"逾期完成",ISNUMBER(V26),"按期完成",O26&gt;TODAY(),"待完成","逾期未完成")</f>
        <v>逾期未完成</v>
      </c>
      <c r="AE26" s="73" t="str">
        <f t="shared" si="2"/>
        <v>已获证</v>
      </c>
      <c r="AF26" s="73" t="str">
        <f t="array" ref="AF26" ca="1">_xlfn.SWITCH(TRUE,ISNUMBER(W26)*W26&gt;P26,"逾期完成",ISNUMBER(W26),"按期完成",P26&gt;TODAY(),"待完成","逾期未完成")</f>
        <v>逾期未完成</v>
      </c>
      <c r="AG26" s="73" t="s">
        <v>68</v>
      </c>
      <c r="AH26" s="74"/>
      <c r="AI26" s="75"/>
      <c r="AJ26" s="76" t="s">
        <v>69</v>
      </c>
      <c r="AK26" s="76" t="s">
        <v>119</v>
      </c>
      <c r="AL26" s="77" t="s">
        <v>60</v>
      </c>
      <c r="AM26" s="78" t="str">
        <f t="shared" ca="1" si="3"/>
        <v>中试,逾期</v>
      </c>
      <c r="AN26" s="78" t="str">
        <f t="shared" ca="1" si="4"/>
        <v>中试结束（已超期46天）</v>
      </c>
      <c r="AO26" s="66"/>
      <c r="AP26" s="66"/>
    </row>
    <row r="27" spans="1:42" ht="16.5">
      <c r="A27" s="61">
        <v>33</v>
      </c>
      <c r="B27" s="80" t="s">
        <v>42</v>
      </c>
      <c r="C27" s="80">
        <v>19902044</v>
      </c>
      <c r="D27" s="62"/>
      <c r="E27" s="80" t="s">
        <v>120</v>
      </c>
      <c r="F27" s="81" t="s">
        <v>121</v>
      </c>
      <c r="G27" s="99">
        <v>1</v>
      </c>
      <c r="H27" s="82" t="s">
        <v>45</v>
      </c>
      <c r="I27" s="80" t="s">
        <v>45</v>
      </c>
      <c r="J27" s="83">
        <v>46021</v>
      </c>
      <c r="K27" s="84">
        <v>46162</v>
      </c>
      <c r="L27" s="84">
        <v>46152</v>
      </c>
      <c r="M27" s="83">
        <f>IF((L27+IF(AJ27="高",45,30))&gt;P27,P27-30,L27+IF(AJ27="高",45,30))</f>
        <v>46182</v>
      </c>
      <c r="N27" s="68">
        <f>P27-IF(AJ27="高",50,30)</f>
        <v>46173</v>
      </c>
      <c r="O27" s="68">
        <f t="shared" si="1"/>
        <v>46203</v>
      </c>
      <c r="P27" s="68">
        <v>46203</v>
      </c>
      <c r="Q27" s="83">
        <v>46016</v>
      </c>
      <c r="R27" s="83">
        <v>46111</v>
      </c>
      <c r="S27" s="83">
        <v>46141</v>
      </c>
      <c r="T27" s="83"/>
      <c r="U27" s="83"/>
      <c r="V27" s="83"/>
      <c r="W27" s="100"/>
      <c r="X27" s="66">
        <v>46136</v>
      </c>
      <c r="Y27" s="72" t="str">
        <f t="array" ref="Y27" ca="1">_xlfn.SWITCH(TRUE,ISNUMBER(Q27)*Q27&gt;J27,"逾期完成",ISNUMBER(Q27),"按期完成",J27&gt;TODAY(),"待完成","逾期未完成")</f>
        <v>按期完成</v>
      </c>
      <c r="Z27" s="72" t="str">
        <f t="array" ref="Z27" ca="1">_xlfn.SWITCH(TRUE,ISNUMBER(R27)*R27&gt;K27,"逾期完成",ISNUMBER(R27),"按期完成",K27&gt;TODAY(),"待完成","逾期未完成")</f>
        <v>按期完成</v>
      </c>
      <c r="AA27" s="73" t="str">
        <f t="array" ref="AA27" ca="1">_xlfn.SWITCH(TRUE,ISNUMBER(S27)*S27&gt;L27,"逾期完成",ISNUMBER(S27),"按期完成",L27&gt;TODAY(),"待完成","逾期未完成")</f>
        <v>按期完成</v>
      </c>
      <c r="AB27" s="73" t="str">
        <f t="array" ref="AB27" ca="1">_xlfn.SWITCH(TRUE,ISNUMBER(T27)*T27&gt;M27,"逾期完成",ISNUMBER(T27),"按期完成",M27&gt;TODAY(),"待完成","逾期未完成")</f>
        <v>待完成</v>
      </c>
      <c r="AC27" s="73" t="str">
        <f t="array" ref="AC27" ca="1">_xlfn.SWITCH(TRUE,ISNUMBER(U27)*U27&gt;N27,"逾期完成",ISNUMBER(U27),"按期完成",N27&gt;TODAY(),"待完成","逾期未完成")</f>
        <v>逾期未完成</v>
      </c>
      <c r="AD27" s="73" t="str">
        <f t="array" ref="AD27" ca="1">_xlfn.SWITCH(TRUE,ISNUMBER(V27)*V27&gt;O27,"逾期完成",ISNUMBER(V27),"按期完成",O27&gt;TODAY(),"待完成","逾期未完成")</f>
        <v>待完成</v>
      </c>
      <c r="AE27" s="73" t="str">
        <f t="shared" si="2"/>
        <v>已获证</v>
      </c>
      <c r="AF27" s="73" t="str">
        <f t="array" ref="AF27" ca="1">_xlfn.SWITCH(TRUE,ISNUMBER(W27)*W27&gt;P27,"逾期完成",ISNUMBER(W27),"按期完成",P27&gt;TODAY(),"待完成","逾期未完成")</f>
        <v>待完成</v>
      </c>
      <c r="AG27" s="73" t="s">
        <v>68</v>
      </c>
      <c r="AH27" s="74"/>
      <c r="AI27" s="120" t="s">
        <v>122</v>
      </c>
      <c r="AJ27" s="76" t="s">
        <v>47</v>
      </c>
      <c r="AK27" s="76" t="s">
        <v>48</v>
      </c>
      <c r="AL27" s="77" t="s">
        <v>49</v>
      </c>
      <c r="AM27" s="78" t="str">
        <f t="shared" ca="1" si="3"/>
        <v>中试,按期</v>
      </c>
      <c r="AN27" s="78" t="str">
        <f t="shared" ca="1" si="4"/>
        <v>⚠️ 中试结束（还有4天，重点关注）</v>
      </c>
      <c r="AO27" s="79">
        <v>46327</v>
      </c>
      <c r="AP27" s="79">
        <v>46692</v>
      </c>
    </row>
    <row r="28" spans="1:42" ht="16.5">
      <c r="A28" s="61">
        <v>34</v>
      </c>
      <c r="B28" s="61" t="s">
        <v>42</v>
      </c>
      <c r="C28" s="61">
        <v>19902045</v>
      </c>
      <c r="D28" s="62"/>
      <c r="E28" s="61" t="s">
        <v>120</v>
      </c>
      <c r="F28" s="63" t="s">
        <v>123</v>
      </c>
      <c r="G28" s="64">
        <v>1</v>
      </c>
      <c r="H28" s="65" t="s">
        <v>45</v>
      </c>
      <c r="I28" s="61" t="s">
        <v>45</v>
      </c>
      <c r="J28" s="66">
        <v>46021</v>
      </c>
      <c r="K28" s="67">
        <v>46162</v>
      </c>
      <c r="L28" s="67">
        <v>46152</v>
      </c>
      <c r="M28" s="66">
        <f>IF((L28+IF(AJ28="高",45,30))&gt;P28,P28-30,L28+IF(AJ28="高",45,30))</f>
        <v>46182</v>
      </c>
      <c r="N28" s="68">
        <f>P28-IF(AJ28="高",50,30)</f>
        <v>46173</v>
      </c>
      <c r="O28" s="68">
        <f t="shared" si="1"/>
        <v>46203</v>
      </c>
      <c r="P28" s="68">
        <v>46203</v>
      </c>
      <c r="Q28" s="70">
        <v>46016</v>
      </c>
      <c r="R28" s="66">
        <v>46111</v>
      </c>
      <c r="S28" s="66">
        <v>46141</v>
      </c>
      <c r="T28" s="66"/>
      <c r="U28" s="66"/>
      <c r="V28" s="66"/>
      <c r="W28" s="71"/>
      <c r="X28" s="66">
        <v>46136</v>
      </c>
      <c r="Y28" s="72" t="str">
        <f t="array" ref="Y28" ca="1">_xlfn.SWITCH(TRUE,ISNUMBER(Q28)*Q28&gt;J28,"逾期完成",ISNUMBER(Q28),"按期完成",J28&gt;TODAY(),"待完成","逾期未完成")</f>
        <v>按期完成</v>
      </c>
      <c r="Z28" s="72" t="str">
        <f t="array" ref="Z28" ca="1">_xlfn.SWITCH(TRUE,ISNUMBER(R28)*R28&gt;K28,"逾期完成",ISNUMBER(R28),"按期完成",K28&gt;TODAY(),"待完成","逾期未完成")</f>
        <v>按期完成</v>
      </c>
      <c r="AA28" s="73" t="str">
        <f t="array" ref="AA28" ca="1">_xlfn.SWITCH(TRUE,ISNUMBER(S28)*S28&gt;L28,"逾期完成",ISNUMBER(S28),"按期完成",L28&gt;TODAY(),"待完成","逾期未完成")</f>
        <v>按期完成</v>
      </c>
      <c r="AB28" s="73" t="str">
        <f t="array" ref="AB28" ca="1">_xlfn.SWITCH(TRUE,ISNUMBER(T28)*T28&gt;M28,"逾期完成",ISNUMBER(T28),"按期完成",M28&gt;TODAY(),"待完成","逾期未完成")</f>
        <v>待完成</v>
      </c>
      <c r="AC28" s="73" t="str">
        <f t="array" ref="AC28" ca="1">_xlfn.SWITCH(TRUE,ISNUMBER(U28)*U28&gt;N28,"逾期完成",ISNUMBER(U28),"按期完成",N28&gt;TODAY(),"待完成","逾期未完成")</f>
        <v>逾期未完成</v>
      </c>
      <c r="AD28" s="73" t="str">
        <f t="array" ref="AD28" ca="1">_xlfn.SWITCH(TRUE,ISNUMBER(V28)*V28&gt;O28,"逾期完成",ISNUMBER(V28),"按期完成",O28&gt;TODAY(),"待完成","逾期未完成")</f>
        <v>待完成</v>
      </c>
      <c r="AE28" s="73" t="str">
        <f t="shared" si="2"/>
        <v>已获证</v>
      </c>
      <c r="AF28" s="73" t="str">
        <f t="array" ref="AF28" ca="1">_xlfn.SWITCH(TRUE,ISNUMBER(W28)*W28&gt;P28,"逾期完成",ISNUMBER(W28),"按期完成",P28&gt;TODAY(),"待完成","逾期未完成")</f>
        <v>待完成</v>
      </c>
      <c r="AG28" s="73" t="s">
        <v>68</v>
      </c>
      <c r="AH28" s="74"/>
      <c r="AI28" s="120" t="s">
        <v>122</v>
      </c>
      <c r="AJ28" s="76" t="s">
        <v>47</v>
      </c>
      <c r="AK28" s="76" t="s">
        <v>48</v>
      </c>
      <c r="AL28" s="77" t="s">
        <v>49</v>
      </c>
      <c r="AM28" s="78" t="str">
        <f t="shared" ca="1" si="3"/>
        <v>中试,按期</v>
      </c>
      <c r="AN28" s="78" t="str">
        <f t="shared" ca="1" si="4"/>
        <v>⚠️ 中试结束（还有4天，重点关注）</v>
      </c>
      <c r="AO28" s="79">
        <v>46327</v>
      </c>
      <c r="AP28" s="79">
        <v>46692</v>
      </c>
    </row>
    <row r="29" spans="1:42" ht="16.5">
      <c r="A29" s="61">
        <v>41</v>
      </c>
      <c r="B29" s="80" t="s">
        <v>42</v>
      </c>
      <c r="C29" s="80">
        <v>19902047</v>
      </c>
      <c r="D29" s="62"/>
      <c r="E29" s="80" t="s">
        <v>124</v>
      </c>
      <c r="F29" s="81" t="s">
        <v>125</v>
      </c>
      <c r="G29" s="99">
        <v>1</v>
      </c>
      <c r="H29" s="82" t="s">
        <v>45</v>
      </c>
      <c r="I29" s="80" t="s">
        <v>45</v>
      </c>
      <c r="J29" s="83">
        <v>46021</v>
      </c>
      <c r="K29" s="84">
        <v>46162</v>
      </c>
      <c r="L29" s="84">
        <v>46152</v>
      </c>
      <c r="M29" s="83">
        <f>IF((L29+IF(AJ29="高",45,30))&gt;P29,P29-30,L29+IF(AJ29="高",45,30))</f>
        <v>46182</v>
      </c>
      <c r="N29" s="68">
        <f>P29-IF(AJ29="高",50,30)</f>
        <v>46173</v>
      </c>
      <c r="O29" s="68">
        <f t="shared" si="1"/>
        <v>46203</v>
      </c>
      <c r="P29" s="68">
        <v>46203</v>
      </c>
      <c r="Q29" s="83">
        <v>46016</v>
      </c>
      <c r="R29" s="83">
        <v>46148</v>
      </c>
      <c r="S29" s="83">
        <v>46148</v>
      </c>
      <c r="T29" s="83"/>
      <c r="U29" s="83"/>
      <c r="V29" s="83"/>
      <c r="W29" s="100"/>
      <c r="X29" s="66">
        <v>46169</v>
      </c>
      <c r="Y29" s="72" t="str">
        <f t="array" ref="Y29" ca="1">_xlfn.SWITCH(TRUE,ISNUMBER(Q29)*Q29&gt;J29,"逾期完成",ISNUMBER(Q29),"按期完成",J29&gt;TODAY(),"待完成","逾期未完成")</f>
        <v>按期完成</v>
      </c>
      <c r="Z29" s="72" t="str">
        <f t="array" ref="Z29" ca="1">_xlfn.SWITCH(TRUE,ISNUMBER(R29)*R29&gt;K29,"逾期完成",ISNUMBER(R29),"按期完成",K29&gt;TODAY(),"待完成","逾期未完成")</f>
        <v>按期完成</v>
      </c>
      <c r="AA29" s="73" t="str">
        <f t="array" ref="AA29" ca="1">_xlfn.SWITCH(TRUE,ISNUMBER(S29)*S29&gt;L29,"逾期完成",ISNUMBER(S29),"按期完成",L29&gt;TODAY(),"待完成","逾期未完成")</f>
        <v>按期完成</v>
      </c>
      <c r="AB29" s="73" t="str">
        <f t="array" ref="AB29" ca="1">_xlfn.SWITCH(TRUE,ISNUMBER(T29)*T29&gt;M29,"逾期完成",ISNUMBER(T29),"按期完成",M29&gt;TODAY(),"待完成","逾期未完成")</f>
        <v>待完成</v>
      </c>
      <c r="AC29" s="73" t="str">
        <f t="array" ref="AC29" ca="1">_xlfn.SWITCH(TRUE,ISNUMBER(U29)*U29&gt;N29,"逾期完成",ISNUMBER(U29),"按期完成",N29&gt;TODAY(),"待完成","逾期未完成")</f>
        <v>逾期未完成</v>
      </c>
      <c r="AD29" s="73" t="str">
        <f t="array" ref="AD29" ca="1">_xlfn.SWITCH(TRUE,ISNUMBER(V29)*V29&gt;O29,"逾期完成",ISNUMBER(V29),"按期完成",O29&gt;TODAY(),"待完成","逾期未完成")</f>
        <v>待完成</v>
      </c>
      <c r="AE29" s="73" t="str">
        <f t="shared" si="2"/>
        <v>已获证</v>
      </c>
      <c r="AF29" s="73" t="str">
        <f t="array" ref="AF29" ca="1">_xlfn.SWITCH(TRUE,ISNUMBER(W29)*W29&gt;P29,"逾期完成",ISNUMBER(W29),"按期完成",P29&gt;TODAY(),"待完成","逾期未完成")</f>
        <v>待完成</v>
      </c>
      <c r="AG29" s="73" t="s">
        <v>68</v>
      </c>
      <c r="AH29" s="74"/>
      <c r="AI29" s="75"/>
      <c r="AJ29" s="76" t="s">
        <v>47</v>
      </c>
      <c r="AK29" s="76" t="s">
        <v>48</v>
      </c>
      <c r="AL29" s="77" t="s">
        <v>49</v>
      </c>
      <c r="AM29" s="78" t="str">
        <f t="shared" ca="1" si="3"/>
        <v>中试,按期</v>
      </c>
      <c r="AN29" s="78" t="str">
        <f t="shared" ca="1" si="4"/>
        <v>⚠️ 中试结束（还有4天，重点关注）</v>
      </c>
      <c r="AO29" s="79"/>
      <c r="AP29" s="79"/>
    </row>
    <row r="30" spans="1:42" ht="16.5">
      <c r="A30" s="61">
        <v>67</v>
      </c>
      <c r="B30" s="121" t="s">
        <v>55</v>
      </c>
      <c r="C30" s="122">
        <v>10100810</v>
      </c>
      <c r="D30" s="123"/>
      <c r="E30" s="122" t="s">
        <v>102</v>
      </c>
      <c r="F30" s="123" t="s">
        <v>113</v>
      </c>
      <c r="G30" s="124">
        <v>1</v>
      </c>
      <c r="H30" s="122">
        <v>10100810</v>
      </c>
      <c r="I30" s="121" t="s">
        <v>113</v>
      </c>
      <c r="J30" s="125">
        <v>46021</v>
      </c>
      <c r="K30" s="125">
        <v>46063</v>
      </c>
      <c r="L30" s="125"/>
      <c r="M30" s="125"/>
      <c r="N30" s="125"/>
      <c r="O30" s="125"/>
      <c r="P30" s="125"/>
      <c r="Q30" s="126">
        <v>46018</v>
      </c>
      <c r="R30" s="125">
        <v>46081</v>
      </c>
      <c r="S30" s="125">
        <v>46098</v>
      </c>
      <c r="T30" s="125"/>
      <c r="U30" s="125"/>
      <c r="V30" s="125"/>
      <c r="W30" s="125"/>
      <c r="X30" s="125">
        <v>46094</v>
      </c>
      <c r="Y30" s="72" t="str">
        <f t="array" ref="Y30" ca="1">_xlfn.SWITCH(TRUE,ISNUMBER(Q30)*Q30&gt;J30,"逾期完成",ISNUMBER(Q30),"按期完成",J30&gt;TODAY(),"待完成","逾期未完成")</f>
        <v>按期完成</v>
      </c>
      <c r="Z30" s="72" t="str">
        <f t="array" ref="Z30" ca="1">_xlfn.SWITCH(TRUE,ISNUMBER(R30)*R30&gt;K30,"逾期完成",ISNUMBER(R30),"按期完成",K30&gt;TODAY(),"待完成","逾期未完成")</f>
        <v>逾期完成</v>
      </c>
      <c r="AA30" s="73" t="str">
        <f t="array" ref="AA30" ca="1">_xlfn.SWITCH(TRUE,ISNUMBER(S30)*S30&gt;L30,"逾期完成",ISNUMBER(S30),"按期完成",L30&gt;TODAY(),"待完成","逾期未完成")</f>
        <v>逾期完成</v>
      </c>
      <c r="AB30" s="73" t="str">
        <f t="array" ref="AB30" ca="1">_xlfn.SWITCH(TRUE,ISNUMBER(T30)*T30&gt;M30,"逾期完成",ISNUMBER(T30),"按期完成",M30&gt;TODAY(),"待完成","逾期未完成")</f>
        <v>逾期未完成</v>
      </c>
      <c r="AC30" s="73" t="str">
        <f t="array" ref="AC30" ca="1">_xlfn.SWITCH(TRUE,ISNUMBER(U30)*U30&gt;N30,"逾期完成",ISNUMBER(U30),"按期完成",N30&gt;TODAY(),"待完成","逾期未完成")</f>
        <v>逾期未完成</v>
      </c>
      <c r="AD30" s="73" t="str">
        <f t="array" ref="AD30" ca="1">_xlfn.SWITCH(TRUE,ISNUMBER(V30)*V30&gt;O30,"逾期完成",ISNUMBER(V30),"按期完成",O30&gt;TODAY(),"待完成","逾期未完成")</f>
        <v>逾期未完成</v>
      </c>
      <c r="AE30" s="73" t="str">
        <f t="shared" si="2"/>
        <v>已获证</v>
      </c>
      <c r="AF30" s="73" t="str">
        <f t="array" ref="AF30" ca="1">_xlfn.SWITCH(TRUE,ISNUMBER(W30)*W30&gt;P30,"逾期完成",ISNUMBER(W30),"按期完成",P30&gt;TODAY(),"待完成","逾期未完成")</f>
        <v>逾期未完成</v>
      </c>
      <c r="AG30" s="73" t="s">
        <v>46</v>
      </c>
      <c r="AH30" s="127">
        <v>0</v>
      </c>
      <c r="AI30" s="75" t="s">
        <v>126</v>
      </c>
      <c r="AJ30" s="76" t="s">
        <v>47</v>
      </c>
      <c r="AK30" s="128" t="s">
        <v>70</v>
      </c>
      <c r="AL30" s="77" t="s">
        <v>60</v>
      </c>
      <c r="AM30" s="78" t="str">
        <f t="shared" ca="1" si="3"/>
        <v>中试,逾期</v>
      </c>
      <c r="AN30" s="78" t="str">
        <f t="shared" ca="1" si="4"/>
        <v>暂无计划</v>
      </c>
      <c r="AO30" s="79">
        <v>45992</v>
      </c>
      <c r="AP30" s="79">
        <v>46357</v>
      </c>
    </row>
    <row r="31" spans="1:42" ht="16.5">
      <c r="A31" s="61">
        <v>8</v>
      </c>
      <c r="B31" s="87" t="s">
        <v>55</v>
      </c>
      <c r="C31" s="87">
        <v>10101400</v>
      </c>
      <c r="D31" s="62"/>
      <c r="E31" s="87" t="s">
        <v>127</v>
      </c>
      <c r="F31" s="88" t="s">
        <v>128</v>
      </c>
      <c r="G31" s="89">
        <v>1</v>
      </c>
      <c r="H31" s="90">
        <v>10100812</v>
      </c>
      <c r="I31" s="87" t="s">
        <v>129</v>
      </c>
      <c r="J31" s="91">
        <v>46032</v>
      </c>
      <c r="K31" s="84">
        <v>46111</v>
      </c>
      <c r="L31" s="84">
        <v>46101</v>
      </c>
      <c r="M31" s="84">
        <v>46162</v>
      </c>
      <c r="N31" s="68">
        <f>P31-IF(AJ31="高",50,30)</f>
        <v>46173</v>
      </c>
      <c r="O31" s="68">
        <f t="shared" ref="O31:O44" si="6">P31</f>
        <v>46203</v>
      </c>
      <c r="P31" s="68">
        <v>46203</v>
      </c>
      <c r="Q31" s="83">
        <v>46032</v>
      </c>
      <c r="R31" s="83">
        <v>46101</v>
      </c>
      <c r="S31" s="83">
        <v>46051</v>
      </c>
      <c r="T31" s="83">
        <v>46115</v>
      </c>
      <c r="U31" s="83"/>
      <c r="V31" s="83"/>
      <c r="W31" s="129"/>
      <c r="X31" s="66">
        <v>46130</v>
      </c>
      <c r="Y31" s="72" t="str">
        <f t="array" ref="Y31" ca="1">_xlfn.SWITCH(TRUE,ISNUMBER(Q31)*Q31&gt;J31,"逾期完成",ISNUMBER(Q31),"按期完成",J31&gt;TODAY(),"待完成","逾期未完成")</f>
        <v>按期完成</v>
      </c>
      <c r="Z31" s="72" t="str">
        <f t="array" ref="Z31" ca="1">_xlfn.SWITCH(TRUE,ISNUMBER(R31)*R31&gt;K31,"逾期完成",ISNUMBER(R31),"按期完成",K31&gt;TODAY(),"待完成","逾期未完成")</f>
        <v>按期完成</v>
      </c>
      <c r="AA31" s="73" t="str">
        <f t="array" ref="AA31" ca="1">_xlfn.SWITCH(TRUE,ISNUMBER(S31)*S31&gt;L31,"逾期完成",ISNUMBER(S31),"按期完成",L31&gt;TODAY(),"待完成","逾期未完成")</f>
        <v>按期完成</v>
      </c>
      <c r="AB31" s="73" t="str">
        <f t="array" ref="AB31" ca="1">_xlfn.SWITCH(TRUE,ISNUMBER(T31)*T31&gt;M31,"逾期完成",ISNUMBER(T31),"按期完成",M31&gt;TODAY(),"待完成","逾期未完成")</f>
        <v>按期完成</v>
      </c>
      <c r="AC31" s="73" t="str">
        <f t="array" ref="AC31" ca="1">_xlfn.SWITCH(TRUE,ISNUMBER(U31)*U31&gt;N31,"逾期完成",ISNUMBER(U31),"按期完成",N31&gt;TODAY(),"待完成","逾期未完成")</f>
        <v>逾期未完成</v>
      </c>
      <c r="AD31" s="73" t="str">
        <f t="array" ref="AD31" ca="1">_xlfn.SWITCH(TRUE,ISNUMBER(V31)*V31&gt;O31,"逾期完成",ISNUMBER(V31),"按期完成",O31&gt;TODAY(),"待完成","逾期未完成")</f>
        <v>待完成</v>
      </c>
      <c r="AE31" s="73" t="str">
        <f t="shared" si="2"/>
        <v>已获证</v>
      </c>
      <c r="AF31" s="73" t="str">
        <f t="array" ref="AF31" ca="1">_xlfn.SWITCH(TRUE,ISNUMBER(W31)*W31&gt;P31,"逾期完成",ISNUMBER(W31),"按期完成",P31&gt;TODAY(),"待完成","逾期未完成")</f>
        <v>待完成</v>
      </c>
      <c r="AG31" s="73" t="s">
        <v>68</v>
      </c>
      <c r="AH31" s="74"/>
      <c r="AI31" s="120" t="s">
        <v>130</v>
      </c>
      <c r="AJ31" s="76" t="s">
        <v>47</v>
      </c>
      <c r="AK31" s="76" t="s">
        <v>97</v>
      </c>
      <c r="AL31" s="77" t="s">
        <v>60</v>
      </c>
      <c r="AM31" s="78" t="str">
        <f t="shared" ca="1" si="3"/>
        <v>批产,逾期</v>
      </c>
      <c r="AN31" s="78" t="str">
        <f t="shared" ca="1" si="4"/>
        <v>批产开始（已超期5天）</v>
      </c>
      <c r="AO31" s="66"/>
      <c r="AP31" s="98"/>
    </row>
    <row r="32" spans="1:42" ht="16.5">
      <c r="A32" s="61">
        <v>43</v>
      </c>
      <c r="B32" s="80" t="s">
        <v>55</v>
      </c>
      <c r="C32" s="80">
        <v>10102020</v>
      </c>
      <c r="D32" s="62"/>
      <c r="E32" s="80" t="s">
        <v>131</v>
      </c>
      <c r="F32" s="81" t="s">
        <v>132</v>
      </c>
      <c r="G32" s="99">
        <v>1</v>
      </c>
      <c r="H32" s="82" t="s">
        <v>45</v>
      </c>
      <c r="I32" s="80" t="s">
        <v>45</v>
      </c>
      <c r="J32" s="83">
        <v>46042</v>
      </c>
      <c r="K32" s="83">
        <f>(MAX(J32,Q32)+60)</f>
        <v>46102</v>
      </c>
      <c r="L32" s="130">
        <v>46127</v>
      </c>
      <c r="M32" s="83">
        <f>IF((L32+IF(AJ32="高",45,30))&gt;P32,P32-30,L32+IF(AJ32="高",45,30))</f>
        <v>46172</v>
      </c>
      <c r="N32" s="68">
        <f>P32-IF(AJ32="高",50,30)</f>
        <v>46173</v>
      </c>
      <c r="O32" s="68">
        <f t="shared" si="6"/>
        <v>46223</v>
      </c>
      <c r="P32" s="68">
        <v>46223</v>
      </c>
      <c r="Q32" s="93">
        <v>46032</v>
      </c>
      <c r="R32" s="83">
        <v>46126</v>
      </c>
      <c r="S32" s="86">
        <v>46098</v>
      </c>
      <c r="T32" s="83"/>
      <c r="U32" s="83"/>
      <c r="V32" s="83"/>
      <c r="W32" s="100"/>
      <c r="X32" s="66">
        <v>46155</v>
      </c>
      <c r="Y32" s="72" t="str">
        <f t="array" ref="Y32" ca="1">_xlfn.SWITCH(TRUE,ISNUMBER(Q32)*Q32&gt;J32,"逾期完成",ISNUMBER(Q32),"按期完成",J32&gt;TODAY(),"待完成","逾期未完成")</f>
        <v>按期完成</v>
      </c>
      <c r="Z32" s="72" t="str">
        <f t="array" ref="Z32" ca="1">_xlfn.SWITCH(TRUE,ISNUMBER(R32)*R32&gt;K32,"逾期完成",ISNUMBER(R32),"按期完成",K32&gt;TODAY(),"待完成","逾期未完成")</f>
        <v>逾期完成</v>
      </c>
      <c r="AA32" s="73" t="str">
        <f t="array" ref="AA32" ca="1">_xlfn.SWITCH(TRUE,ISNUMBER(S32)*S32&gt;L32,"逾期完成",ISNUMBER(S32),"按期完成",L32&gt;TODAY(),"待完成","逾期未完成")</f>
        <v>按期完成</v>
      </c>
      <c r="AB32" s="73" t="str">
        <f t="array" ref="AB32" ca="1">_xlfn.SWITCH(TRUE,ISNUMBER(T32)*T32&gt;M32,"逾期完成",ISNUMBER(T32),"按期完成",M32&gt;TODAY(),"待完成","逾期未完成")</f>
        <v>逾期未完成</v>
      </c>
      <c r="AC32" s="73" t="str">
        <f t="array" ref="AC32" ca="1">_xlfn.SWITCH(TRUE,ISNUMBER(U32)*U32&gt;N32,"逾期完成",ISNUMBER(U32),"按期完成",N32&gt;TODAY(),"待完成","逾期未完成")</f>
        <v>逾期未完成</v>
      </c>
      <c r="AD32" s="73" t="str">
        <f t="array" ref="AD32" ca="1">_xlfn.SWITCH(TRUE,ISNUMBER(V32)*V32&gt;O32,"逾期完成",ISNUMBER(V32),"按期完成",O32&gt;TODAY(),"待完成","逾期未完成")</f>
        <v>待完成</v>
      </c>
      <c r="AE32" s="73" t="str">
        <f t="shared" si="2"/>
        <v>已获证</v>
      </c>
      <c r="AF32" s="73" t="str">
        <f t="array" ref="AF32" ca="1">_xlfn.SWITCH(TRUE,ISNUMBER(W32)*W32&gt;P32,"逾期完成",ISNUMBER(W32),"按期完成",P32&gt;TODAY(),"待完成","逾期未完成")</f>
        <v>待完成</v>
      </c>
      <c r="AG32" s="73" t="s">
        <v>68</v>
      </c>
      <c r="AH32" s="74"/>
      <c r="AI32" s="97" t="s">
        <v>133</v>
      </c>
      <c r="AJ32" s="76" t="s">
        <v>69</v>
      </c>
      <c r="AK32" s="76" t="s">
        <v>134</v>
      </c>
      <c r="AL32" s="77" t="s">
        <v>60</v>
      </c>
      <c r="AM32" s="78" t="str">
        <f t="shared" ca="1" si="3"/>
        <v>中试,逾期</v>
      </c>
      <c r="AN32" s="78" t="str">
        <f t="shared" ca="1" si="4"/>
        <v>中试结束（已超期6天）</v>
      </c>
      <c r="AO32" s="79">
        <v>45778</v>
      </c>
      <c r="AP32" s="79">
        <v>46143</v>
      </c>
    </row>
    <row r="33" spans="1:44" ht="28">
      <c r="A33" s="61">
        <v>13</v>
      </c>
      <c r="B33" s="61" t="s">
        <v>61</v>
      </c>
      <c r="C33" s="61"/>
      <c r="D33" s="62"/>
      <c r="E33" s="61" t="s">
        <v>135</v>
      </c>
      <c r="F33" s="63" t="s">
        <v>136</v>
      </c>
      <c r="G33" s="64">
        <v>1</v>
      </c>
      <c r="H33" s="65" t="s">
        <v>45</v>
      </c>
      <c r="I33" s="61" t="s">
        <v>45</v>
      </c>
      <c r="J33" s="66">
        <v>46042</v>
      </c>
      <c r="K33" s="67">
        <v>46142</v>
      </c>
      <c r="L33" s="67">
        <v>46132</v>
      </c>
      <c r="M33" s="67">
        <v>46162</v>
      </c>
      <c r="N33" s="68">
        <v>46162</v>
      </c>
      <c r="O33" s="68">
        <f t="shared" si="6"/>
        <v>46193</v>
      </c>
      <c r="P33" s="68">
        <v>46193</v>
      </c>
      <c r="Q33" s="70">
        <v>46032</v>
      </c>
      <c r="R33" s="66"/>
      <c r="S33" s="66"/>
      <c r="T33" s="66"/>
      <c r="U33" s="66"/>
      <c r="V33" s="66"/>
      <c r="W33" s="71"/>
      <c r="X33" s="66"/>
      <c r="Y33" s="72" t="str">
        <f t="array" ref="Y33" ca="1">_xlfn.SWITCH(TRUE,ISNUMBER(Q33)*Q33&gt;J33,"逾期完成",ISNUMBER(Q33),"按期完成",J33&gt;TODAY(),"待完成","逾期未完成")</f>
        <v>按期完成</v>
      </c>
      <c r="Z33" s="72" t="str">
        <f t="array" ref="Z33" ca="1">_xlfn.SWITCH(TRUE,ISNUMBER(R33)*R33&gt;K33,"逾期完成",ISNUMBER(R33),"按期完成",K33&gt;TODAY(),"待完成","逾期未完成")</f>
        <v>逾期未完成</v>
      </c>
      <c r="AA33" s="73" t="str">
        <f t="array" ref="AA33" ca="1">_xlfn.SWITCH(TRUE,ISNUMBER(S33)*S33&gt;L33,"逾期完成",ISNUMBER(S33),"按期完成",L33&gt;TODAY(),"待完成","逾期未完成")</f>
        <v>逾期未完成</v>
      </c>
      <c r="AB33" s="73" t="str">
        <f t="array" ref="AB33" ca="1">_xlfn.SWITCH(TRUE,ISNUMBER(T33)*T33&gt;M33,"逾期完成",ISNUMBER(T33),"按期完成",M33&gt;TODAY(),"待完成","逾期未完成")</f>
        <v>逾期未完成</v>
      </c>
      <c r="AC33" s="73" t="str">
        <f t="array" ref="AC33" ca="1">_xlfn.SWITCH(TRUE,ISNUMBER(U33)*U33&gt;N33,"逾期完成",ISNUMBER(U33),"按期完成",N33&gt;TODAY(),"待完成","逾期未完成")</f>
        <v>逾期未完成</v>
      </c>
      <c r="AD33" s="73" t="str">
        <f t="array" ref="AD33" ca="1">_xlfn.SWITCH(TRUE,ISNUMBER(V33)*V33&gt;O33,"逾期完成",ISNUMBER(V33),"按期完成",O33&gt;TODAY(),"待完成","逾期未完成")</f>
        <v>待完成</v>
      </c>
      <c r="AE33" s="73" t="str">
        <f t="shared" si="2"/>
        <v>未获证</v>
      </c>
      <c r="AF33" s="73" t="str">
        <f t="array" ref="AF33" ca="1">_xlfn.SWITCH(TRUE,ISNUMBER(W33)*W33&gt;P33,"逾期完成",ISNUMBER(W33),"按期完成",P33&gt;TODAY(),"待完成","逾期未完成")</f>
        <v>待完成</v>
      </c>
      <c r="AG33" s="73" t="s">
        <v>68</v>
      </c>
      <c r="AH33" s="74">
        <v>0</v>
      </c>
      <c r="AI33" s="75"/>
      <c r="AJ33" s="76" t="s">
        <v>47</v>
      </c>
      <c r="AK33" s="76" t="s">
        <v>64</v>
      </c>
      <c r="AL33" s="77" t="s">
        <v>49</v>
      </c>
      <c r="AM33" s="78" t="str">
        <f t="shared" ca="1" si="3"/>
        <v>送检,逾期</v>
      </c>
      <c r="AN33" s="78" t="str">
        <f t="shared" ca="1" si="4"/>
        <v>中试开始（已超期46天）</v>
      </c>
      <c r="AO33" s="66">
        <v>45992</v>
      </c>
      <c r="AP33" s="66">
        <v>46357</v>
      </c>
    </row>
    <row r="34" spans="1:44" ht="16.5">
      <c r="A34" s="61">
        <v>6</v>
      </c>
      <c r="B34" s="87" t="s">
        <v>55</v>
      </c>
      <c r="C34" s="87">
        <v>10101402</v>
      </c>
      <c r="D34" s="62"/>
      <c r="E34" s="87" t="s">
        <v>137</v>
      </c>
      <c r="F34" s="88" t="s">
        <v>138</v>
      </c>
      <c r="G34" s="89">
        <v>1</v>
      </c>
      <c r="H34" s="90">
        <v>10100813</v>
      </c>
      <c r="I34" s="87" t="s">
        <v>139</v>
      </c>
      <c r="J34" s="83">
        <v>46052</v>
      </c>
      <c r="K34" s="84">
        <v>46142</v>
      </c>
      <c r="L34" s="84">
        <v>46111</v>
      </c>
      <c r="M34" s="84">
        <v>46152</v>
      </c>
      <c r="N34" s="68">
        <f>P34-IF(AJ34="高",50,30)</f>
        <v>46173</v>
      </c>
      <c r="O34" s="68">
        <f t="shared" si="6"/>
        <v>46203</v>
      </c>
      <c r="P34" s="68">
        <v>46203</v>
      </c>
      <c r="Q34" s="93">
        <v>46046</v>
      </c>
      <c r="R34" s="86">
        <v>46133</v>
      </c>
      <c r="S34" s="86">
        <v>46098</v>
      </c>
      <c r="T34" s="83">
        <f>VLOOKUP(F34,'中试细化（不考核研发）'!B:Q,16,FALSE)</f>
        <v>46162</v>
      </c>
      <c r="U34" s="83"/>
      <c r="V34" s="83"/>
      <c r="W34" s="131"/>
      <c r="X34" s="83"/>
      <c r="Y34" s="72" t="str">
        <f t="array" ref="Y34" ca="1">_xlfn.SWITCH(TRUE,ISNUMBER(Q34)*Q34&gt;J34,"逾期完成",ISNUMBER(Q34),"按期完成",J34&gt;TODAY(),"待完成","逾期未完成")</f>
        <v>按期完成</v>
      </c>
      <c r="Z34" s="72" t="str">
        <f t="array" ref="Z34" ca="1">_xlfn.SWITCH(TRUE,ISNUMBER(R34)*R34&gt;K34,"逾期完成",ISNUMBER(R34),"按期完成",K34&gt;TODAY(),"待完成","逾期未完成")</f>
        <v>按期完成</v>
      </c>
      <c r="AA34" s="73" t="str">
        <f t="array" ref="AA34" ca="1">_xlfn.SWITCH(TRUE,ISNUMBER(S34)*S34&gt;L34,"逾期完成",ISNUMBER(S34),"按期完成",L34&gt;TODAY(),"待完成","逾期未完成")</f>
        <v>按期完成</v>
      </c>
      <c r="AB34" s="73" t="str">
        <f t="array" ref="AB34" ca="1">_xlfn.SWITCH(TRUE,ISNUMBER(T34)*T34&gt;M34,"逾期完成",ISNUMBER(T34),"按期完成",M34&gt;TODAY(),"待完成","逾期未完成")</f>
        <v>逾期完成</v>
      </c>
      <c r="AC34" s="73" t="str">
        <f t="array" ref="AC34" ca="1">_xlfn.SWITCH(TRUE,ISNUMBER(U34)*U34&gt;N34,"逾期完成",ISNUMBER(U34),"按期完成",N34&gt;TODAY(),"待完成","逾期未完成")</f>
        <v>逾期未完成</v>
      </c>
      <c r="AD34" s="73" t="str">
        <f t="array" ref="AD34" ca="1">_xlfn.SWITCH(TRUE,ISNUMBER(V34)*V34&gt;O34,"逾期完成",ISNUMBER(V34),"按期完成",O34&gt;TODAY(),"待完成","逾期未完成")</f>
        <v>待完成</v>
      </c>
      <c r="AE34" s="73" t="str">
        <f t="shared" si="2"/>
        <v>未获证</v>
      </c>
      <c r="AF34" s="73" t="str">
        <f t="array" ref="AF34" ca="1">_xlfn.SWITCH(TRUE,ISNUMBER(W34)*W34&gt;P34,"逾期完成",ISNUMBER(W34),"按期完成",P34&gt;TODAY(),"待完成","逾期未完成")</f>
        <v>待完成</v>
      </c>
      <c r="AG34" s="73" t="s">
        <v>68</v>
      </c>
      <c r="AH34" s="74"/>
      <c r="AI34" s="75"/>
      <c r="AJ34" s="76" t="s">
        <v>47</v>
      </c>
      <c r="AK34" s="76" t="s">
        <v>84</v>
      </c>
      <c r="AL34" s="77" t="s">
        <v>60</v>
      </c>
      <c r="AM34" s="78" t="str">
        <f t="shared" ca="1" si="3"/>
        <v>批产,逾期</v>
      </c>
      <c r="AN34" s="78" t="str">
        <f t="shared" ca="1" si="4"/>
        <v>批产开始（已超期5天）</v>
      </c>
      <c r="AO34" s="66">
        <v>45992</v>
      </c>
      <c r="AP34" s="66">
        <v>46357</v>
      </c>
      <c r="AR34" s="132" t="s">
        <v>140</v>
      </c>
    </row>
    <row r="35" spans="1:44" ht="16.5">
      <c r="A35" s="61">
        <v>7</v>
      </c>
      <c r="B35" s="61" t="s">
        <v>55</v>
      </c>
      <c r="C35" s="61">
        <v>10101405</v>
      </c>
      <c r="D35" s="62"/>
      <c r="E35" s="61" t="s">
        <v>141</v>
      </c>
      <c r="F35" s="63" t="s">
        <v>142</v>
      </c>
      <c r="G35" s="64">
        <v>1</v>
      </c>
      <c r="H35" s="65">
        <v>10100814</v>
      </c>
      <c r="I35" s="61" t="s">
        <v>143</v>
      </c>
      <c r="J35" s="66">
        <v>46052</v>
      </c>
      <c r="K35" s="67">
        <v>46142</v>
      </c>
      <c r="L35" s="67">
        <v>46111</v>
      </c>
      <c r="M35" s="67">
        <v>46152</v>
      </c>
      <c r="N35" s="68">
        <f>P35-IF(AJ35="高",50,30)</f>
        <v>46173</v>
      </c>
      <c r="O35" s="68">
        <f t="shared" si="6"/>
        <v>46203</v>
      </c>
      <c r="P35" s="68">
        <v>46203</v>
      </c>
      <c r="Q35" s="70">
        <v>46046</v>
      </c>
      <c r="R35" s="66">
        <v>46111</v>
      </c>
      <c r="S35" s="66">
        <v>46098</v>
      </c>
      <c r="T35" s="66"/>
      <c r="U35" s="66"/>
      <c r="V35" s="66"/>
      <c r="W35" s="113"/>
      <c r="X35" s="66" t="s">
        <v>144</v>
      </c>
      <c r="Y35" s="72" t="str">
        <f t="array" ref="Y35" ca="1">_xlfn.SWITCH(TRUE,ISNUMBER(Q35)*Q35&gt;J35,"逾期完成",ISNUMBER(Q35),"按期完成",J35&gt;TODAY(),"待完成","逾期未完成")</f>
        <v>按期完成</v>
      </c>
      <c r="Z35" s="72" t="str">
        <f t="array" ref="Z35" ca="1">_xlfn.SWITCH(TRUE,ISNUMBER(R35)*R35&gt;K35,"逾期完成",ISNUMBER(R35),"按期完成",K35&gt;TODAY(),"待完成","逾期未完成")</f>
        <v>按期完成</v>
      </c>
      <c r="AA35" s="73" t="str">
        <f t="array" ref="AA35" ca="1">_xlfn.SWITCH(TRUE,ISNUMBER(S35)*S35&gt;L35,"逾期完成",ISNUMBER(S35),"按期完成",L35&gt;TODAY(),"待完成","逾期未完成")</f>
        <v>按期完成</v>
      </c>
      <c r="AB35" s="73" t="str">
        <f t="array" ref="AB35" ca="1">_xlfn.SWITCH(TRUE,ISNUMBER(T35)*T35&gt;M35,"逾期完成",ISNUMBER(T35),"按期完成",M35&gt;TODAY(),"待完成","逾期未完成")</f>
        <v>逾期未完成</v>
      </c>
      <c r="AC35" s="73" t="str">
        <f t="array" ref="AC35" ca="1">_xlfn.SWITCH(TRUE,ISNUMBER(U35)*U35&gt;N35,"逾期完成",ISNUMBER(U35),"按期完成",N35&gt;TODAY(),"待完成","逾期未完成")</f>
        <v>逾期未完成</v>
      </c>
      <c r="AD35" s="73" t="str">
        <f t="array" ref="AD35" ca="1">_xlfn.SWITCH(TRUE,ISNUMBER(V35)*V35&gt;O35,"逾期完成",ISNUMBER(V35),"按期完成",O35&gt;TODAY(),"待完成","逾期未完成")</f>
        <v>待完成</v>
      </c>
      <c r="AE35" s="73" t="str">
        <f t="shared" si="2"/>
        <v>未获证</v>
      </c>
      <c r="AF35" s="73" t="str">
        <f t="array" ref="AF35" ca="1">_xlfn.SWITCH(TRUE,ISNUMBER(W35)*W35&gt;P35,"逾期完成",ISNUMBER(W35),"按期完成",P35&gt;TODAY(),"待完成","逾期未完成")</f>
        <v>待完成</v>
      </c>
      <c r="AG35" s="73" t="s">
        <v>46</v>
      </c>
      <c r="AH35" s="74"/>
      <c r="AI35" s="75"/>
      <c r="AJ35" s="76" t="s">
        <v>47</v>
      </c>
      <c r="AK35" s="76" t="s">
        <v>84</v>
      </c>
      <c r="AL35" s="77" t="s">
        <v>60</v>
      </c>
      <c r="AM35" s="78" t="str">
        <f t="shared" ca="1" si="3"/>
        <v>中试,逾期</v>
      </c>
      <c r="AN35" s="78" t="str">
        <f t="shared" ca="1" si="4"/>
        <v>中试结束（已超期26天）</v>
      </c>
      <c r="AO35" s="66"/>
      <c r="AP35" s="66"/>
    </row>
    <row r="36" spans="1:44" ht="70">
      <c r="A36" s="61">
        <v>65</v>
      </c>
      <c r="B36" s="121" t="s">
        <v>55</v>
      </c>
      <c r="C36" s="121" t="s">
        <v>145</v>
      </c>
      <c r="D36" s="121"/>
      <c r="E36" s="121" t="s">
        <v>146</v>
      </c>
      <c r="F36" s="123" t="s">
        <v>147</v>
      </c>
      <c r="G36" s="124">
        <v>5</v>
      </c>
      <c r="H36" s="125" t="s">
        <v>45</v>
      </c>
      <c r="I36" s="125" t="s">
        <v>45</v>
      </c>
      <c r="J36" s="125">
        <v>46063</v>
      </c>
      <c r="K36" s="125">
        <f>(MAX(J36,Q36)+60)</f>
        <v>46123</v>
      </c>
      <c r="L36" s="125">
        <f>MAX(J36,Q36)+30</f>
        <v>46093</v>
      </c>
      <c r="M36" s="125">
        <f>IF((L36+IF(AJ36="高",45,30))&gt;P36,P36-30,L36+IF(AJ36="高",45,30))</f>
        <v>46123</v>
      </c>
      <c r="N36" s="125">
        <f>P36-IF(AJ36="高",50,30)</f>
        <v>46142</v>
      </c>
      <c r="O36" s="125">
        <f t="shared" si="6"/>
        <v>46172</v>
      </c>
      <c r="P36" s="125">
        <v>46172</v>
      </c>
      <c r="Q36" s="126">
        <v>46027</v>
      </c>
      <c r="R36" s="121"/>
      <c r="S36" s="121"/>
      <c r="T36" s="121"/>
      <c r="U36" s="121"/>
      <c r="V36" s="121"/>
      <c r="W36" s="121"/>
      <c r="X36" s="121"/>
      <c r="Y36" s="72" t="str">
        <f t="array" ref="Y36" ca="1">_xlfn.SWITCH(TRUE,ISNUMBER(Q36)*Q36&gt;J36,"逾期完成",ISNUMBER(Q36),"按期完成",J36&gt;TODAY(),"待完成","逾期未完成")</f>
        <v>按期完成</v>
      </c>
      <c r="Z36" s="72" t="str">
        <f t="array" ref="Z36" ca="1">_xlfn.SWITCH(TRUE,ISNUMBER(R36)*R36&gt;K36,"逾期完成",ISNUMBER(R36),"按期完成",K36&gt;TODAY(),"待完成","逾期未完成")</f>
        <v>逾期未完成</v>
      </c>
      <c r="AA36" s="73" t="str">
        <f t="array" ref="AA36" ca="1">_xlfn.SWITCH(TRUE,ISNUMBER(S36)*S36&gt;L36,"逾期完成",ISNUMBER(S36),"按期完成",L36&gt;TODAY(),"待完成","逾期未完成")</f>
        <v>逾期未完成</v>
      </c>
      <c r="AB36" s="73" t="str">
        <f t="array" ref="AB36" ca="1">_xlfn.SWITCH(TRUE,ISNUMBER(T36)*T36&gt;M36,"逾期完成",ISNUMBER(T36),"按期完成",M36&gt;TODAY(),"待完成","逾期未完成")</f>
        <v>逾期未完成</v>
      </c>
      <c r="AC36" s="73" t="str">
        <f t="array" ref="AC36" ca="1">_xlfn.SWITCH(TRUE,ISNUMBER(U36)*U36&gt;N36,"逾期完成",ISNUMBER(U36),"按期完成",N36&gt;TODAY(),"待完成","逾期未完成")</f>
        <v>逾期未完成</v>
      </c>
      <c r="AD36" s="73" t="str">
        <f t="array" ref="AD36" ca="1">_xlfn.SWITCH(TRUE,ISNUMBER(V36)*V36&gt;O36,"逾期完成",ISNUMBER(V36),"按期完成",O36&gt;TODAY(),"待完成","逾期未完成")</f>
        <v>逾期未完成</v>
      </c>
      <c r="AE36" s="73" t="str">
        <f t="shared" si="2"/>
        <v>未获证</v>
      </c>
      <c r="AF36" s="73" t="str">
        <f t="array" ref="AF36" ca="1">_xlfn.SWITCH(TRUE,ISNUMBER(W36)*W36&gt;P36,"逾期完成",ISNUMBER(W36),"按期完成",P36&gt;TODAY(),"待完成","逾期未完成")</f>
        <v>逾期未完成</v>
      </c>
      <c r="AG36" s="73" t="s">
        <v>68</v>
      </c>
      <c r="AH36" s="127">
        <v>0</v>
      </c>
      <c r="AI36" s="75"/>
      <c r="AJ36" s="76" t="s">
        <v>47</v>
      </c>
      <c r="AK36" s="128" t="s">
        <v>148</v>
      </c>
      <c r="AL36" s="77" t="s">
        <v>60</v>
      </c>
      <c r="AM36" s="78" t="str">
        <f t="shared" ca="1" si="3"/>
        <v>送检,逾期</v>
      </c>
      <c r="AN36" s="78" t="str">
        <f t="shared" ca="1" si="4"/>
        <v>中试开始（已超期85天）</v>
      </c>
      <c r="AO36" s="79" t="s">
        <v>149</v>
      </c>
      <c r="AP36" s="79"/>
    </row>
    <row r="37" spans="1:44" ht="16.5">
      <c r="A37" s="61">
        <v>12</v>
      </c>
      <c r="B37" s="80" t="s">
        <v>98</v>
      </c>
      <c r="C37" s="80"/>
      <c r="D37" s="62"/>
      <c r="E37" s="80" t="s">
        <v>150</v>
      </c>
      <c r="F37" s="81" t="s">
        <v>151</v>
      </c>
      <c r="G37" s="99">
        <v>10</v>
      </c>
      <c r="H37" s="82" t="s">
        <v>45</v>
      </c>
      <c r="I37" s="80" t="s">
        <v>45</v>
      </c>
      <c r="J37" s="83">
        <v>46063</v>
      </c>
      <c r="K37" s="83">
        <v>46132</v>
      </c>
      <c r="L37" s="84">
        <v>46101</v>
      </c>
      <c r="M37" s="84">
        <v>46142</v>
      </c>
      <c r="N37" s="68">
        <v>46142</v>
      </c>
      <c r="O37" s="68">
        <f t="shared" si="6"/>
        <v>46172</v>
      </c>
      <c r="P37" s="68">
        <v>46172</v>
      </c>
      <c r="Q37" s="93">
        <v>46052</v>
      </c>
      <c r="R37" s="83">
        <v>46133</v>
      </c>
      <c r="S37" s="83">
        <v>46101</v>
      </c>
      <c r="T37" s="83">
        <v>46175</v>
      </c>
      <c r="U37" s="83"/>
      <c r="V37" s="83"/>
      <c r="W37" s="100"/>
      <c r="X37" s="66">
        <v>46170</v>
      </c>
      <c r="Y37" s="72" t="str">
        <f t="array" ref="Y37" ca="1">_xlfn.SWITCH(TRUE,ISNUMBER(Q37)*Q37&gt;J37,"逾期完成",ISNUMBER(Q37),"按期完成",J37&gt;TODAY(),"待完成","逾期未完成")</f>
        <v>按期完成</v>
      </c>
      <c r="Z37" s="72" t="str">
        <f t="array" ref="Z37" ca="1">_xlfn.SWITCH(TRUE,ISNUMBER(R37)*R37&gt;K37,"逾期完成",ISNUMBER(R37),"按期完成",K37&gt;TODAY(),"待完成","逾期未完成")</f>
        <v>逾期完成</v>
      </c>
      <c r="AA37" s="73" t="str">
        <f t="array" ref="AA37" ca="1">_xlfn.SWITCH(TRUE,ISNUMBER(S37)*S37&gt;L37,"逾期完成",ISNUMBER(S37),"按期完成",L37&gt;TODAY(),"待完成","逾期未完成")</f>
        <v>按期完成</v>
      </c>
      <c r="AB37" s="73" t="str">
        <f t="array" ref="AB37" ca="1">_xlfn.SWITCH(TRUE,ISNUMBER(T37)*T37&gt;M37,"逾期完成",ISNUMBER(T37),"按期完成",M37&gt;TODAY(),"待完成","逾期未完成")</f>
        <v>逾期完成</v>
      </c>
      <c r="AC37" s="73" t="str">
        <f t="array" ref="AC37" ca="1">_xlfn.SWITCH(TRUE,ISNUMBER(U37)*U37&gt;N37,"逾期完成",ISNUMBER(U37),"按期完成",N37&gt;TODAY(),"待完成","逾期未完成")</f>
        <v>逾期未完成</v>
      </c>
      <c r="AD37" s="73" t="str">
        <f t="array" ref="AD37" ca="1">_xlfn.SWITCH(TRUE,ISNUMBER(V37)*V37&gt;O37,"逾期完成",ISNUMBER(V37),"按期完成",O37&gt;TODAY(),"待完成","逾期未完成")</f>
        <v>逾期未完成</v>
      </c>
      <c r="AE37" s="73" t="str">
        <f t="shared" si="2"/>
        <v>已获证</v>
      </c>
      <c r="AF37" s="73" t="str">
        <f t="array" ref="AF37" ca="1">_xlfn.SWITCH(TRUE,ISNUMBER(W37)*W37&gt;P37,"逾期完成",ISNUMBER(W37),"按期完成",P37&gt;TODAY(),"待完成","逾期未完成")</f>
        <v>逾期未完成</v>
      </c>
      <c r="AG37" s="73" t="s">
        <v>68</v>
      </c>
      <c r="AH37" s="74"/>
      <c r="AI37" s="75"/>
      <c r="AJ37" s="76" t="s">
        <v>47</v>
      </c>
      <c r="AK37" s="76" t="s">
        <v>152</v>
      </c>
      <c r="AL37" s="77" t="s">
        <v>60</v>
      </c>
      <c r="AM37" s="78" t="str">
        <f t="shared" ca="1" si="3"/>
        <v>批产,逾期</v>
      </c>
      <c r="AN37" s="78" t="str">
        <f t="shared" ca="1" si="4"/>
        <v>批产开始（已超期36天）</v>
      </c>
      <c r="AO37" s="66">
        <v>45778</v>
      </c>
      <c r="AP37" s="98">
        <v>46143</v>
      </c>
    </row>
    <row r="38" spans="1:44" ht="16.5">
      <c r="A38" s="61">
        <v>44</v>
      </c>
      <c r="B38" s="61" t="s">
        <v>78</v>
      </c>
      <c r="C38" s="61">
        <v>10102034</v>
      </c>
      <c r="D38" s="62"/>
      <c r="E38" s="61" t="s">
        <v>153</v>
      </c>
      <c r="F38" s="63" t="s">
        <v>154</v>
      </c>
      <c r="G38" s="64">
        <v>1</v>
      </c>
      <c r="H38" s="65" t="s">
        <v>45</v>
      </c>
      <c r="I38" s="61" t="s">
        <v>45</v>
      </c>
      <c r="J38" s="66">
        <v>46063</v>
      </c>
      <c r="K38" s="67">
        <v>46132</v>
      </c>
      <c r="L38" s="67">
        <v>46101</v>
      </c>
      <c r="M38" s="67">
        <v>46162</v>
      </c>
      <c r="N38" s="68">
        <v>46162</v>
      </c>
      <c r="O38" s="68">
        <f t="shared" si="6"/>
        <v>46203</v>
      </c>
      <c r="P38" s="68">
        <v>46203</v>
      </c>
      <c r="Q38" s="70">
        <v>46048</v>
      </c>
      <c r="R38" s="66">
        <v>45729</v>
      </c>
      <c r="S38" s="66">
        <v>46100</v>
      </c>
      <c r="T38" s="66"/>
      <c r="U38" s="66"/>
      <c r="V38" s="66"/>
      <c r="W38" s="71"/>
      <c r="X38" s="66">
        <v>46119</v>
      </c>
      <c r="Y38" s="72" t="str">
        <f t="array" ref="Y38" ca="1">_xlfn.SWITCH(TRUE,ISNUMBER(Q38)*Q38&gt;J38,"逾期完成",ISNUMBER(Q38),"按期完成",J38&gt;TODAY(),"待完成","逾期未完成")</f>
        <v>按期完成</v>
      </c>
      <c r="Z38" s="72" t="str">
        <f t="array" ref="Z38" ca="1">_xlfn.SWITCH(TRUE,ISNUMBER(R38)*R38&gt;K38,"逾期完成",ISNUMBER(R38),"按期完成",K38&gt;TODAY(),"待完成","逾期未完成")</f>
        <v>按期完成</v>
      </c>
      <c r="AA38" s="73" t="str">
        <f t="array" ref="AA38" ca="1">_xlfn.SWITCH(TRUE,ISNUMBER(S38)*S38&gt;L38,"逾期完成",ISNUMBER(S38),"按期完成",L38&gt;TODAY(),"待完成","逾期未完成")</f>
        <v>按期完成</v>
      </c>
      <c r="AB38" s="73" t="str">
        <f t="array" ref="AB38" ca="1">_xlfn.SWITCH(TRUE,ISNUMBER(T38)*T38&gt;M38,"逾期完成",ISNUMBER(T38),"按期完成",M38&gt;TODAY(),"待完成","逾期未完成")</f>
        <v>逾期未完成</v>
      </c>
      <c r="AC38" s="73" t="str">
        <f t="array" ref="AC38" ca="1">_xlfn.SWITCH(TRUE,ISNUMBER(U38)*U38&gt;N38,"逾期完成",ISNUMBER(U38),"按期完成",N38&gt;TODAY(),"待完成","逾期未完成")</f>
        <v>逾期未完成</v>
      </c>
      <c r="AD38" s="73" t="str">
        <f t="array" ref="AD38" ca="1">_xlfn.SWITCH(TRUE,ISNUMBER(V38)*V38&gt;O38,"逾期完成",ISNUMBER(V38),"按期完成",O38&gt;TODAY(),"待完成","逾期未完成")</f>
        <v>待完成</v>
      </c>
      <c r="AE38" s="73" t="str">
        <f t="shared" si="2"/>
        <v>已获证</v>
      </c>
      <c r="AF38" s="73" t="str">
        <f t="array" ref="AF38" ca="1">_xlfn.SWITCH(TRUE,ISNUMBER(W38)*W38&gt;P38,"逾期完成",ISNUMBER(W38),"按期完成",P38&gt;TODAY(),"待完成","逾期未完成")</f>
        <v>待完成</v>
      </c>
      <c r="AG38" s="73" t="s">
        <v>68</v>
      </c>
      <c r="AH38" s="74"/>
      <c r="AI38" s="75"/>
      <c r="AJ38" s="76" t="s">
        <v>69</v>
      </c>
      <c r="AK38" s="76" t="s">
        <v>89</v>
      </c>
      <c r="AL38" s="77" t="s">
        <v>60</v>
      </c>
      <c r="AM38" s="78" t="str">
        <f t="shared" ca="1" si="3"/>
        <v>中试,逾期</v>
      </c>
      <c r="AN38" s="78" t="str">
        <f t="shared" ca="1" si="4"/>
        <v>中试结束（已超期16天）</v>
      </c>
      <c r="AO38" s="79"/>
      <c r="AP38" s="79"/>
    </row>
    <row r="39" spans="1:44" ht="16.5">
      <c r="A39" s="61">
        <v>52</v>
      </c>
      <c r="B39" s="61" t="s">
        <v>98</v>
      </c>
      <c r="C39" s="61">
        <v>10401604</v>
      </c>
      <c r="D39" s="62"/>
      <c r="E39" s="65" t="s">
        <v>155</v>
      </c>
      <c r="F39" s="63" t="s">
        <v>156</v>
      </c>
      <c r="G39" s="64">
        <v>1</v>
      </c>
      <c r="H39" s="65" t="s">
        <v>45</v>
      </c>
      <c r="I39" s="61" t="s">
        <v>45</v>
      </c>
      <c r="J39" s="66">
        <v>46063</v>
      </c>
      <c r="K39" s="67">
        <v>46142</v>
      </c>
      <c r="L39" s="67">
        <v>46111</v>
      </c>
      <c r="M39" s="67">
        <v>46172</v>
      </c>
      <c r="N39" s="67">
        <v>46172</v>
      </c>
      <c r="O39" s="66">
        <f t="shared" si="6"/>
        <v>46203</v>
      </c>
      <c r="P39" s="66">
        <v>46203</v>
      </c>
      <c r="Q39" s="70">
        <v>46062</v>
      </c>
      <c r="R39" s="66">
        <v>46132</v>
      </c>
      <c r="S39" s="66">
        <v>46092</v>
      </c>
      <c r="T39" s="66">
        <f>VLOOKUP(F39,'中试细化（不考核研发）'!B:Q,16,FALSE)</f>
        <v>46161</v>
      </c>
      <c r="U39" s="66"/>
      <c r="V39" s="66"/>
      <c r="W39" s="71"/>
      <c r="X39" s="66">
        <v>46161</v>
      </c>
      <c r="Y39" s="72" t="str">
        <f t="array" ref="Y39" ca="1">_xlfn.SWITCH(TRUE,ISNUMBER(Q39)*Q39&gt;J39,"逾期完成",ISNUMBER(Q39),"按期完成",J39&gt;TODAY(),"待完成","逾期未完成")</f>
        <v>按期完成</v>
      </c>
      <c r="Z39" s="72" t="str">
        <f t="array" ref="Z39" ca="1">_xlfn.SWITCH(TRUE,ISNUMBER(R39)*R39&gt;K39,"逾期完成",ISNUMBER(R39),"按期完成",K39&gt;TODAY(),"待完成","逾期未完成")</f>
        <v>按期完成</v>
      </c>
      <c r="AA39" s="73" t="str">
        <f t="array" ref="AA39" ca="1">_xlfn.SWITCH(TRUE,ISNUMBER(S39)*S39&gt;L39,"逾期完成",ISNUMBER(S39),"按期完成",L39&gt;TODAY(),"待完成","逾期未完成")</f>
        <v>按期完成</v>
      </c>
      <c r="AB39" s="73" t="str">
        <f t="array" ref="AB39" ca="1">_xlfn.SWITCH(TRUE,ISNUMBER(T39)*T39&gt;M39,"逾期完成",ISNUMBER(T39),"按期完成",M39&gt;TODAY(),"待完成","逾期未完成")</f>
        <v>按期完成</v>
      </c>
      <c r="AC39" s="73" t="str">
        <f t="array" ref="AC39" ca="1">_xlfn.SWITCH(TRUE,ISNUMBER(U39)*U39&gt;N39,"逾期完成",ISNUMBER(U39),"按期完成",N39&gt;TODAY(),"待完成","逾期未完成")</f>
        <v>逾期未完成</v>
      </c>
      <c r="AD39" s="73" t="str">
        <f t="array" ref="AD39" ca="1">_xlfn.SWITCH(TRUE,ISNUMBER(V39)*V39&gt;O39,"逾期完成",ISNUMBER(V39),"按期完成",O39&gt;TODAY(),"待完成","逾期未完成")</f>
        <v>待完成</v>
      </c>
      <c r="AE39" s="73" t="str">
        <f t="shared" si="2"/>
        <v>已获证</v>
      </c>
      <c r="AF39" s="73" t="str">
        <f t="array" ref="AF39" ca="1">_xlfn.SWITCH(TRUE,ISNUMBER(W39)*W39&gt;P39,"逾期完成",ISNUMBER(W39),"按期完成",P39&gt;TODAY(),"待完成","逾期未完成")</f>
        <v>待完成</v>
      </c>
      <c r="AG39" s="73" t="s">
        <v>68</v>
      </c>
      <c r="AH39" s="74"/>
      <c r="AI39" s="75"/>
      <c r="AJ39" s="76" t="s">
        <v>47</v>
      </c>
      <c r="AK39" s="76" t="s">
        <v>116</v>
      </c>
      <c r="AL39" s="77" t="s">
        <v>60</v>
      </c>
      <c r="AM39" s="78" t="str">
        <f t="shared" ca="1" si="3"/>
        <v>批产,逾期</v>
      </c>
      <c r="AN39" s="78" t="str">
        <f t="shared" ca="1" si="4"/>
        <v>批产开始（已超期6天）</v>
      </c>
      <c r="AO39" s="79">
        <v>45778</v>
      </c>
      <c r="AP39" s="79">
        <v>46143</v>
      </c>
    </row>
    <row r="40" spans="1:44" ht="16.5">
      <c r="A40" s="61">
        <v>53</v>
      </c>
      <c r="B40" s="83" t="s">
        <v>98</v>
      </c>
      <c r="C40" s="80">
        <v>10401603</v>
      </c>
      <c r="D40" s="133"/>
      <c r="E40" s="80" t="s">
        <v>155</v>
      </c>
      <c r="F40" s="129" t="s">
        <v>157</v>
      </c>
      <c r="G40" s="99">
        <v>1</v>
      </c>
      <c r="H40" s="82" t="s">
        <v>45</v>
      </c>
      <c r="I40" s="80" t="s">
        <v>45</v>
      </c>
      <c r="J40" s="83">
        <v>46063</v>
      </c>
      <c r="K40" s="84">
        <v>46142</v>
      </c>
      <c r="L40" s="84">
        <v>46111</v>
      </c>
      <c r="M40" s="84">
        <v>46172</v>
      </c>
      <c r="N40" s="84">
        <v>46172</v>
      </c>
      <c r="O40" s="83">
        <f t="shared" si="6"/>
        <v>46203</v>
      </c>
      <c r="P40" s="92">
        <v>46203</v>
      </c>
      <c r="Q40" s="93">
        <v>46062</v>
      </c>
      <c r="R40" s="83">
        <v>46132</v>
      </c>
      <c r="S40" s="83">
        <v>46092</v>
      </c>
      <c r="T40" s="83">
        <f>VLOOKUP(F40,'中试细化（不考核研发）'!B:Q,16,FALSE)</f>
        <v>46161</v>
      </c>
      <c r="U40" s="83"/>
      <c r="V40" s="83"/>
      <c r="W40" s="83"/>
      <c r="X40" s="66">
        <v>46161</v>
      </c>
      <c r="Y40" s="72" t="str">
        <f t="array" ref="Y40" ca="1">_xlfn.SWITCH(TRUE,ISNUMBER(Q40)*Q40&gt;J40,"逾期完成",ISNUMBER(Q40),"按期完成",J40&gt;TODAY(),"待完成","逾期未完成")</f>
        <v>按期完成</v>
      </c>
      <c r="Z40" s="72" t="str">
        <f t="array" ref="Z40" ca="1">_xlfn.SWITCH(TRUE,ISNUMBER(R40)*R40&gt;K40,"逾期完成",ISNUMBER(R40),"按期完成",K40&gt;TODAY(),"待完成","逾期未完成")</f>
        <v>按期完成</v>
      </c>
      <c r="AA40" s="73" t="str">
        <f t="array" ref="AA40" ca="1">_xlfn.SWITCH(TRUE,ISNUMBER(S40)*S40&gt;L40,"逾期完成",ISNUMBER(S40),"按期完成",L40&gt;TODAY(),"待完成","逾期未完成")</f>
        <v>按期完成</v>
      </c>
      <c r="AB40" s="73" t="str">
        <f t="array" ref="AB40" ca="1">_xlfn.SWITCH(TRUE,ISNUMBER(T40)*T40&gt;M40,"逾期完成",ISNUMBER(T40),"按期完成",M40&gt;TODAY(),"待完成","逾期未完成")</f>
        <v>按期完成</v>
      </c>
      <c r="AC40" s="73" t="str">
        <f t="array" ref="AC40" ca="1">_xlfn.SWITCH(TRUE,ISNUMBER(U40)*U40&gt;N40,"逾期完成",ISNUMBER(U40),"按期完成",N40&gt;TODAY(),"待完成","逾期未完成")</f>
        <v>逾期未完成</v>
      </c>
      <c r="AD40" s="73" t="str">
        <f t="array" ref="AD40" ca="1">_xlfn.SWITCH(TRUE,ISNUMBER(V40)*V40&gt;O40,"逾期完成",ISNUMBER(V40),"按期完成",O40&gt;TODAY(),"待完成","逾期未完成")</f>
        <v>待完成</v>
      </c>
      <c r="AE40" s="73" t="str">
        <f t="shared" si="2"/>
        <v>已获证</v>
      </c>
      <c r="AF40" s="73" t="str">
        <f t="array" ref="AF40" ca="1">_xlfn.SWITCH(TRUE,ISNUMBER(W40)*W40&gt;P40,"逾期完成",ISNUMBER(W40),"按期完成",P40&gt;TODAY(),"待完成","逾期未完成")</f>
        <v>待完成</v>
      </c>
      <c r="AG40" s="73" t="s">
        <v>68</v>
      </c>
      <c r="AH40" s="74"/>
      <c r="AI40" s="75"/>
      <c r="AJ40" s="76" t="s">
        <v>47</v>
      </c>
      <c r="AK40" s="76" t="s">
        <v>116</v>
      </c>
      <c r="AL40" s="77" t="s">
        <v>60</v>
      </c>
      <c r="AM40" s="78" t="str">
        <f t="shared" ca="1" si="3"/>
        <v>批产,逾期</v>
      </c>
      <c r="AN40" s="78" t="str">
        <f t="shared" ca="1" si="4"/>
        <v>批产开始（已超期6天）</v>
      </c>
      <c r="AO40" s="79">
        <v>45778</v>
      </c>
      <c r="AP40" s="79">
        <v>46143</v>
      </c>
    </row>
    <row r="41" spans="1:44" ht="16.5">
      <c r="A41" s="61">
        <v>54</v>
      </c>
      <c r="B41" s="115" t="s">
        <v>98</v>
      </c>
      <c r="C41" s="115"/>
      <c r="D41" s="62"/>
      <c r="E41" s="115" t="s">
        <v>158</v>
      </c>
      <c r="F41" s="116" t="s">
        <v>159</v>
      </c>
      <c r="G41" s="117">
        <v>10</v>
      </c>
      <c r="H41" s="134" t="s">
        <v>45</v>
      </c>
      <c r="I41" s="115" t="s">
        <v>45</v>
      </c>
      <c r="J41" s="118">
        <v>46063</v>
      </c>
      <c r="K41" s="68">
        <v>46142</v>
      </c>
      <c r="L41" s="68">
        <v>46111</v>
      </c>
      <c r="M41" s="68">
        <v>46142</v>
      </c>
      <c r="N41" s="68">
        <v>46142</v>
      </c>
      <c r="O41" s="118">
        <f t="shared" si="6"/>
        <v>46172</v>
      </c>
      <c r="P41" s="135">
        <v>46172</v>
      </c>
      <c r="Q41" s="136">
        <v>46062</v>
      </c>
      <c r="R41" s="118">
        <v>46132</v>
      </c>
      <c r="S41" s="118">
        <v>46092</v>
      </c>
      <c r="T41" s="118">
        <v>46168</v>
      </c>
      <c r="U41" s="118"/>
      <c r="V41" s="118"/>
      <c r="W41" s="119"/>
      <c r="X41" s="66">
        <v>46161</v>
      </c>
      <c r="Y41" s="72" t="str">
        <f t="array" ref="Y41" ca="1">_xlfn.SWITCH(TRUE,ISNUMBER(Q41)*Q41&gt;J41,"逾期完成",ISNUMBER(Q41),"按期完成",J41&gt;TODAY(),"待完成","逾期未完成")</f>
        <v>按期完成</v>
      </c>
      <c r="Z41" s="72" t="str">
        <f t="array" ref="Z41" ca="1">_xlfn.SWITCH(TRUE,ISNUMBER(R41)*R41&gt;K41,"逾期完成",ISNUMBER(R41),"按期完成",K41&gt;TODAY(),"待完成","逾期未完成")</f>
        <v>按期完成</v>
      </c>
      <c r="AA41" s="73" t="str">
        <f t="array" ref="AA41" ca="1">_xlfn.SWITCH(TRUE,ISNUMBER(S41)*S41&gt;L41,"逾期完成",ISNUMBER(S41),"按期完成",L41&gt;TODAY(),"待完成","逾期未完成")</f>
        <v>按期完成</v>
      </c>
      <c r="AB41" s="73" t="str">
        <f t="array" ref="AB41" ca="1">_xlfn.SWITCH(TRUE,ISNUMBER(T41)*T41&gt;M41,"逾期完成",ISNUMBER(T41),"按期完成",M41&gt;TODAY(),"待完成","逾期未完成")</f>
        <v>逾期完成</v>
      </c>
      <c r="AC41" s="73" t="str">
        <f t="array" ref="AC41" ca="1">_xlfn.SWITCH(TRUE,ISNUMBER(U41)*U41&gt;N41,"逾期完成",ISNUMBER(U41),"按期完成",N41&gt;TODAY(),"待完成","逾期未完成")</f>
        <v>逾期未完成</v>
      </c>
      <c r="AD41" s="73" t="str">
        <f t="array" ref="AD41" ca="1">_xlfn.SWITCH(TRUE,ISNUMBER(V41)*V41&gt;O41,"逾期完成",ISNUMBER(V41),"按期完成",O41&gt;TODAY(),"待完成","逾期未完成")</f>
        <v>逾期未完成</v>
      </c>
      <c r="AE41" s="73" t="str">
        <f t="shared" si="2"/>
        <v>已获证</v>
      </c>
      <c r="AF41" s="73" t="str">
        <f t="array" ref="AF41" ca="1">_xlfn.SWITCH(TRUE,ISNUMBER(W41)*W41&gt;P41,"逾期完成",ISNUMBER(W41),"按期完成",P41&gt;TODAY(),"待完成","逾期未完成")</f>
        <v>逾期未完成</v>
      </c>
      <c r="AG41" s="73" t="s">
        <v>68</v>
      </c>
      <c r="AH41" s="74"/>
      <c r="AI41" s="75"/>
      <c r="AJ41" s="76" t="s">
        <v>47</v>
      </c>
      <c r="AK41" s="76" t="s">
        <v>152</v>
      </c>
      <c r="AL41" s="77" t="s">
        <v>60</v>
      </c>
      <c r="AM41" s="78" t="str">
        <f t="shared" ca="1" si="3"/>
        <v>批产,逾期</v>
      </c>
      <c r="AN41" s="78" t="str">
        <f t="shared" ca="1" si="4"/>
        <v>批产开始（已超期36天）</v>
      </c>
      <c r="AO41" s="79">
        <v>45778</v>
      </c>
      <c r="AP41" s="79">
        <v>46143</v>
      </c>
    </row>
    <row r="42" spans="1:44" ht="16.5">
      <c r="A42" s="61">
        <v>55</v>
      </c>
      <c r="B42" s="118" t="s">
        <v>98</v>
      </c>
      <c r="C42" s="115"/>
      <c r="D42" s="133"/>
      <c r="E42" s="115" t="s">
        <v>158</v>
      </c>
      <c r="F42" s="137" t="s">
        <v>160</v>
      </c>
      <c r="G42" s="117">
        <v>8</v>
      </c>
      <c r="H42" s="118" t="s">
        <v>45</v>
      </c>
      <c r="I42" s="118" t="s">
        <v>45</v>
      </c>
      <c r="J42" s="118">
        <v>46063</v>
      </c>
      <c r="K42" s="68">
        <v>46142</v>
      </c>
      <c r="L42" s="68">
        <v>46111</v>
      </c>
      <c r="M42" s="68">
        <v>46142</v>
      </c>
      <c r="N42" s="68">
        <v>46142</v>
      </c>
      <c r="O42" s="118">
        <f t="shared" si="6"/>
        <v>46172</v>
      </c>
      <c r="P42" s="118">
        <v>46172</v>
      </c>
      <c r="Q42" s="136">
        <v>46062</v>
      </c>
      <c r="R42" s="118">
        <v>46132</v>
      </c>
      <c r="S42" s="118">
        <v>46092</v>
      </c>
      <c r="T42" s="118">
        <v>46168</v>
      </c>
      <c r="U42" s="118"/>
      <c r="V42" s="118"/>
      <c r="W42" s="118"/>
      <c r="X42" s="66">
        <v>46161</v>
      </c>
      <c r="Y42" s="72" t="str">
        <f t="array" ref="Y42" ca="1">_xlfn.SWITCH(TRUE,ISNUMBER(Q42)*Q42&gt;J42,"逾期完成",ISNUMBER(Q42),"按期完成",J42&gt;TODAY(),"待完成","逾期未完成")</f>
        <v>按期完成</v>
      </c>
      <c r="Z42" s="72" t="str">
        <f t="array" ref="Z42" ca="1">_xlfn.SWITCH(TRUE,ISNUMBER(R42)*R42&gt;K42,"逾期完成",ISNUMBER(R42),"按期完成",K42&gt;TODAY(),"待完成","逾期未完成")</f>
        <v>按期完成</v>
      </c>
      <c r="AA42" s="73" t="str">
        <f t="array" ref="AA42" ca="1">_xlfn.SWITCH(TRUE,ISNUMBER(S42)*S42&gt;L42,"逾期完成",ISNUMBER(S42),"按期完成",L42&gt;TODAY(),"待完成","逾期未完成")</f>
        <v>按期完成</v>
      </c>
      <c r="AB42" s="73" t="str">
        <f t="array" ref="AB42" ca="1">_xlfn.SWITCH(TRUE,ISNUMBER(T42)*T42&gt;M42,"逾期完成",ISNUMBER(T42),"按期完成",M42&gt;TODAY(),"待完成","逾期未完成")</f>
        <v>逾期完成</v>
      </c>
      <c r="AC42" s="73" t="str">
        <f t="array" ref="AC42" ca="1">_xlfn.SWITCH(TRUE,ISNUMBER(U42)*U42&gt;N42,"逾期完成",ISNUMBER(U42),"按期完成",N42&gt;TODAY(),"待完成","逾期未完成")</f>
        <v>逾期未完成</v>
      </c>
      <c r="AD42" s="73" t="str">
        <f t="array" ref="AD42" ca="1">_xlfn.SWITCH(TRUE,ISNUMBER(V42)*V42&gt;O42,"逾期完成",ISNUMBER(V42),"按期完成",O42&gt;TODAY(),"待完成","逾期未完成")</f>
        <v>逾期未完成</v>
      </c>
      <c r="AE42" s="73" t="str">
        <f t="shared" si="2"/>
        <v>已获证</v>
      </c>
      <c r="AF42" s="73" t="str">
        <f t="array" ref="AF42" ca="1">_xlfn.SWITCH(TRUE,ISNUMBER(W42)*W42&gt;P42,"逾期完成",ISNUMBER(W42),"按期完成",P42&gt;TODAY(),"待完成","逾期未完成")</f>
        <v>逾期未完成</v>
      </c>
      <c r="AG42" s="73" t="s">
        <v>68</v>
      </c>
      <c r="AH42" s="74"/>
      <c r="AI42" s="75"/>
      <c r="AJ42" s="76" t="s">
        <v>47</v>
      </c>
      <c r="AK42" s="76" t="s">
        <v>152</v>
      </c>
      <c r="AL42" s="77" t="s">
        <v>60</v>
      </c>
      <c r="AM42" s="78" t="str">
        <f t="shared" ca="1" si="3"/>
        <v>批产,逾期</v>
      </c>
      <c r="AN42" s="78" t="str">
        <f t="shared" ca="1" si="4"/>
        <v>批产开始（已超期36天）</v>
      </c>
      <c r="AO42" s="79">
        <v>45778</v>
      </c>
      <c r="AP42" s="79">
        <v>46143</v>
      </c>
    </row>
    <row r="43" spans="1:44" ht="28">
      <c r="A43" s="61">
        <v>48</v>
      </c>
      <c r="B43" s="61" t="s">
        <v>42</v>
      </c>
      <c r="C43" s="61">
        <v>10101057</v>
      </c>
      <c r="D43" s="62"/>
      <c r="E43" s="65" t="s">
        <v>161</v>
      </c>
      <c r="F43" s="63" t="s">
        <v>162</v>
      </c>
      <c r="G43" s="64">
        <v>1</v>
      </c>
      <c r="H43" s="65">
        <v>10101057</v>
      </c>
      <c r="I43" s="61" t="s">
        <v>162</v>
      </c>
      <c r="J43" s="66">
        <v>46063</v>
      </c>
      <c r="K43" s="67">
        <v>46172</v>
      </c>
      <c r="L43" s="67">
        <v>46111</v>
      </c>
      <c r="M43" s="67">
        <v>46172</v>
      </c>
      <c r="N43" s="68">
        <v>46172</v>
      </c>
      <c r="O43" s="68">
        <f t="shared" si="6"/>
        <v>46203</v>
      </c>
      <c r="P43" s="68">
        <v>46203</v>
      </c>
      <c r="Q43" s="70">
        <v>46062</v>
      </c>
      <c r="R43" s="114">
        <v>46161</v>
      </c>
      <c r="S43" s="66">
        <v>46098</v>
      </c>
      <c r="T43" s="66"/>
      <c r="U43" s="66"/>
      <c r="V43" s="66"/>
      <c r="W43" s="71"/>
      <c r="X43" s="66"/>
      <c r="Y43" s="72" t="str">
        <f t="array" ref="Y43" ca="1">_xlfn.SWITCH(TRUE,ISNUMBER(Q43)*Q43&gt;J43,"逾期完成",ISNUMBER(Q43),"按期完成",J43&gt;TODAY(),"待完成","逾期未完成")</f>
        <v>按期完成</v>
      </c>
      <c r="Z43" s="72" t="str">
        <f t="array" ref="Z43" ca="1">_xlfn.SWITCH(TRUE,ISNUMBER(R43)*R43&gt;K43,"逾期完成",ISNUMBER(R43),"按期完成",K43&gt;TODAY(),"待完成","逾期未完成")</f>
        <v>按期完成</v>
      </c>
      <c r="AA43" s="73" t="str">
        <f t="array" ref="AA43" ca="1">_xlfn.SWITCH(TRUE,ISNUMBER(S43)*S43&gt;L43,"逾期完成",ISNUMBER(S43),"按期完成",L43&gt;TODAY(),"待完成","逾期未完成")</f>
        <v>按期完成</v>
      </c>
      <c r="AB43" s="73" t="str">
        <f t="array" ref="AB43" ca="1">_xlfn.SWITCH(TRUE,ISNUMBER(T43)*T43&gt;M43,"逾期完成",ISNUMBER(T43),"按期完成",M43&gt;TODAY(),"待完成","逾期未完成")</f>
        <v>逾期未完成</v>
      </c>
      <c r="AC43" s="73" t="str">
        <f t="array" ref="AC43" ca="1">_xlfn.SWITCH(TRUE,ISNUMBER(U43)*U43&gt;N43,"逾期完成",ISNUMBER(U43),"按期完成",N43&gt;TODAY(),"待完成","逾期未完成")</f>
        <v>逾期未完成</v>
      </c>
      <c r="AD43" s="73" t="str">
        <f t="array" ref="AD43" ca="1">_xlfn.SWITCH(TRUE,ISNUMBER(V43)*V43&gt;O43,"逾期完成",ISNUMBER(V43),"按期完成",O43&gt;TODAY(),"待完成","逾期未完成")</f>
        <v>待完成</v>
      </c>
      <c r="AE43" s="73" t="str">
        <f t="shared" si="2"/>
        <v>未获证</v>
      </c>
      <c r="AF43" s="73" t="str">
        <f t="array" ref="AF43" ca="1">_xlfn.SWITCH(TRUE,ISNUMBER(W43)*W43&gt;P43,"逾期完成",ISNUMBER(W43),"按期完成",P43&gt;TODAY(),"待完成","逾期未完成")</f>
        <v>待完成</v>
      </c>
      <c r="AG43" s="73" t="s">
        <v>68</v>
      </c>
      <c r="AH43" s="74"/>
      <c r="AI43" s="97" t="s">
        <v>163</v>
      </c>
      <c r="AJ43" s="76" t="s">
        <v>47</v>
      </c>
      <c r="AK43" s="76" t="s">
        <v>84</v>
      </c>
      <c r="AL43" s="77" t="s">
        <v>60</v>
      </c>
      <c r="AM43" s="78" t="str">
        <f t="shared" ca="1" si="3"/>
        <v>中试,逾期</v>
      </c>
      <c r="AN43" s="78" t="str">
        <f t="shared" ca="1" si="4"/>
        <v>中试结束（已超期6天）</v>
      </c>
      <c r="AO43" s="79">
        <v>45992</v>
      </c>
      <c r="AP43" s="79">
        <v>46357</v>
      </c>
    </row>
    <row r="44" spans="1:44" ht="16.5">
      <c r="A44" s="61">
        <v>47</v>
      </c>
      <c r="B44" s="115" t="s">
        <v>98</v>
      </c>
      <c r="C44" s="115">
        <v>10401582</v>
      </c>
      <c r="D44" s="62"/>
      <c r="E44" s="134" t="s">
        <v>99</v>
      </c>
      <c r="F44" s="116" t="s">
        <v>164</v>
      </c>
      <c r="G44" s="117">
        <v>1</v>
      </c>
      <c r="H44" s="134" t="s">
        <v>45</v>
      </c>
      <c r="I44" s="115" t="s">
        <v>45</v>
      </c>
      <c r="J44" s="118">
        <v>46073</v>
      </c>
      <c r="K44" s="68">
        <v>46122</v>
      </c>
      <c r="L44" s="68">
        <v>46091</v>
      </c>
      <c r="M44" s="68">
        <v>46132</v>
      </c>
      <c r="N44" s="68">
        <v>46133</v>
      </c>
      <c r="O44" s="68">
        <f t="shared" si="6"/>
        <v>46163</v>
      </c>
      <c r="P44" s="68">
        <v>46163</v>
      </c>
      <c r="Q44" s="136">
        <v>46062</v>
      </c>
      <c r="R44" s="118">
        <v>46127</v>
      </c>
      <c r="S44" s="118">
        <v>46098</v>
      </c>
      <c r="T44" s="118">
        <v>46136</v>
      </c>
      <c r="U44" s="118"/>
      <c r="V44" s="118"/>
      <c r="W44" s="119"/>
      <c r="X44" s="118">
        <v>46146</v>
      </c>
      <c r="Y44" s="72" t="str">
        <f t="array" ref="Y44" ca="1">_xlfn.SWITCH(TRUE,ISNUMBER(Q44)*Q44&gt;J44,"逾期完成",ISNUMBER(Q44),"按期完成",J44&gt;TODAY(),"待完成","逾期未完成")</f>
        <v>按期完成</v>
      </c>
      <c r="Z44" s="72" t="str">
        <f t="array" ref="Z44" ca="1">_xlfn.SWITCH(TRUE,ISNUMBER(R44)*R44&gt;K44,"逾期完成",ISNUMBER(R44),"按期完成",K44&gt;TODAY(),"待完成","逾期未完成")</f>
        <v>逾期完成</v>
      </c>
      <c r="AA44" s="73" t="str">
        <f t="array" ref="AA44" ca="1">_xlfn.SWITCH(TRUE,ISNUMBER(S44)*S44&gt;L44,"逾期完成",ISNUMBER(S44),"按期完成",L44&gt;TODAY(),"待完成","逾期未完成")</f>
        <v>逾期完成</v>
      </c>
      <c r="AB44" s="73" t="str">
        <f t="array" ref="AB44" ca="1">_xlfn.SWITCH(TRUE,ISNUMBER(T44)*T44&gt;M44,"逾期完成",ISNUMBER(T44),"按期完成",M44&gt;TODAY(),"待完成","逾期未完成")</f>
        <v>逾期完成</v>
      </c>
      <c r="AC44" s="73" t="str">
        <f t="array" ref="AC44" ca="1">_xlfn.SWITCH(TRUE,ISNUMBER(U44)*U44&gt;N44,"逾期完成",ISNUMBER(U44),"按期完成",N44&gt;TODAY(),"待完成","逾期未完成")</f>
        <v>逾期未完成</v>
      </c>
      <c r="AD44" s="73" t="str">
        <f t="array" ref="AD44" ca="1">_xlfn.SWITCH(TRUE,ISNUMBER(V44)*V44&gt;O44,"逾期完成",ISNUMBER(V44),"按期完成",O44&gt;TODAY(),"待完成","逾期未完成")</f>
        <v>逾期未完成</v>
      </c>
      <c r="AE44" s="73" t="str">
        <f t="shared" si="2"/>
        <v>已获证</v>
      </c>
      <c r="AF44" s="73" t="str">
        <f t="array" ref="AF44" ca="1">_xlfn.SWITCH(TRUE,ISNUMBER(W44)*W44&gt;P44,"逾期完成",ISNUMBER(W44),"按期完成",P44&gt;TODAY(),"待完成","逾期未完成")</f>
        <v>逾期未完成</v>
      </c>
      <c r="AG44" s="73" t="s">
        <v>46</v>
      </c>
      <c r="AH44" s="74"/>
      <c r="AI44" s="75"/>
      <c r="AJ44" s="76" t="s">
        <v>47</v>
      </c>
      <c r="AK44" s="76" t="s">
        <v>165</v>
      </c>
      <c r="AL44" s="77" t="s">
        <v>60</v>
      </c>
      <c r="AM44" s="78" t="str">
        <f t="shared" ca="1" si="3"/>
        <v>批产,逾期</v>
      </c>
      <c r="AN44" s="78" t="str">
        <f t="shared" ca="1" si="4"/>
        <v>批产开始（已超期45天）</v>
      </c>
      <c r="AO44" s="79">
        <v>45778</v>
      </c>
      <c r="AP44" s="79">
        <v>46143</v>
      </c>
    </row>
    <row r="45" spans="1:44" ht="16.5">
      <c r="A45" s="61">
        <v>5</v>
      </c>
      <c r="B45" s="115" t="s">
        <v>55</v>
      </c>
      <c r="C45" s="115"/>
      <c r="D45" s="62"/>
      <c r="E45" s="115" t="s">
        <v>166</v>
      </c>
      <c r="F45" s="138" t="s">
        <v>167</v>
      </c>
      <c r="G45" s="117">
        <v>1</v>
      </c>
      <c r="H45" s="134">
        <v>10101009</v>
      </c>
      <c r="I45" s="115" t="s">
        <v>168</v>
      </c>
      <c r="J45" s="118">
        <v>46091</v>
      </c>
      <c r="K45" s="68">
        <v>46223</v>
      </c>
      <c r="L45" s="68">
        <v>46183</v>
      </c>
      <c r="M45" s="68">
        <v>46233</v>
      </c>
      <c r="N45" s="68">
        <v>46244</v>
      </c>
      <c r="O45" s="68">
        <v>46254</v>
      </c>
      <c r="P45" s="68">
        <v>46254</v>
      </c>
      <c r="Q45" s="136">
        <v>46111</v>
      </c>
      <c r="R45" s="118"/>
      <c r="S45" s="118">
        <v>46125</v>
      </c>
      <c r="T45" s="118"/>
      <c r="U45" s="118"/>
      <c r="V45" s="118"/>
      <c r="W45" s="119"/>
      <c r="X45" s="118"/>
      <c r="Y45" s="72" t="str">
        <f t="array" ref="Y45" ca="1">_xlfn.SWITCH(TRUE,ISNUMBER(Q45)*Q45&gt;J45,"逾期完成",ISNUMBER(Q45),"按期完成",J45&gt;TODAY(),"待完成","逾期未完成")</f>
        <v>逾期完成</v>
      </c>
      <c r="Z45" s="72" t="str">
        <f t="array" ref="Z45" ca="1">_xlfn.SWITCH(TRUE,ISNUMBER(R45)*R45&gt;K45,"逾期完成",ISNUMBER(R45),"按期完成",K45&gt;TODAY(),"待完成","逾期未完成")</f>
        <v>待完成</v>
      </c>
      <c r="AA45" s="73" t="str">
        <f t="array" ref="AA45" ca="1">_xlfn.SWITCH(TRUE,ISNUMBER(S45)*S45&gt;L45,"逾期完成",ISNUMBER(S45),"按期完成",L45&gt;TODAY(),"待完成","逾期未完成")</f>
        <v>按期完成</v>
      </c>
      <c r="AB45" s="73" t="str">
        <f t="array" ref="AB45" ca="1">_xlfn.SWITCH(TRUE,ISNUMBER(T45)*T45&gt;M45,"逾期完成",ISNUMBER(T45),"按期完成",M45&gt;TODAY(),"待完成","逾期未完成")</f>
        <v>待完成</v>
      </c>
      <c r="AC45" s="73" t="str">
        <f t="array" ref="AC45" ca="1">_xlfn.SWITCH(TRUE,ISNUMBER(U45)*U45&gt;N45,"逾期完成",ISNUMBER(U45),"按期完成",N45&gt;TODAY(),"待完成","逾期未完成")</f>
        <v>待完成</v>
      </c>
      <c r="AD45" s="73" t="str">
        <f t="array" ref="AD45" ca="1">_xlfn.SWITCH(TRUE,ISNUMBER(V45)*V45&gt;O45,"逾期完成",ISNUMBER(V45),"按期完成",O45&gt;TODAY(),"待完成","逾期未完成")</f>
        <v>待完成</v>
      </c>
      <c r="AE45" s="73" t="str">
        <f t="shared" si="2"/>
        <v>未获证</v>
      </c>
      <c r="AF45" s="73" t="str">
        <f t="array" ref="AF45" ca="1">_xlfn.SWITCH(TRUE,ISNUMBER(W45)*W45&gt;P45,"逾期完成",ISNUMBER(W45),"按期完成",P45&gt;TODAY(),"待完成","逾期未完成")</f>
        <v>待完成</v>
      </c>
      <c r="AG45" s="73" t="s">
        <v>68</v>
      </c>
      <c r="AH45" s="74"/>
      <c r="AI45" s="75" t="s">
        <v>169</v>
      </c>
      <c r="AJ45" s="76" t="s">
        <v>69</v>
      </c>
      <c r="AK45" s="76" t="s">
        <v>170</v>
      </c>
      <c r="AL45" s="77" t="s">
        <v>60</v>
      </c>
      <c r="AM45" s="78" t="str">
        <f t="shared" ca="1" si="3"/>
        <v>送检,逾期</v>
      </c>
      <c r="AN45" s="78" t="str">
        <f t="shared" ca="1" si="4"/>
        <v>中试结束（还有55天）</v>
      </c>
      <c r="AO45" s="66">
        <v>45778</v>
      </c>
      <c r="AP45" s="98">
        <v>46143</v>
      </c>
    </row>
    <row r="46" spans="1:44" ht="16.5">
      <c r="A46" s="61">
        <v>59</v>
      </c>
      <c r="B46" s="61" t="s">
        <v>55</v>
      </c>
      <c r="C46" s="63"/>
      <c r="D46" s="108"/>
      <c r="E46" s="66" t="s">
        <v>171</v>
      </c>
      <c r="F46" s="139" t="s">
        <v>172</v>
      </c>
      <c r="G46" s="64">
        <v>1</v>
      </c>
      <c r="H46" s="61" t="s">
        <v>45</v>
      </c>
      <c r="I46" s="66" t="s">
        <v>45</v>
      </c>
      <c r="J46" s="66">
        <v>46101</v>
      </c>
      <c r="K46" s="66">
        <f>(MAX(J46,Q46)+60)</f>
        <v>46161</v>
      </c>
      <c r="L46" s="66">
        <f>MAX(J46,Q46)+30</f>
        <v>46131</v>
      </c>
      <c r="M46" s="66">
        <f>IF((L46+IF(AJ46="高",45,30))&gt;P46,P46-30,L46+IF(AJ46="高",45,30))</f>
        <v>46176</v>
      </c>
      <c r="N46" s="66">
        <f>P46-IF(AJ46="高",50,30)</f>
        <v>46214</v>
      </c>
      <c r="O46" s="66">
        <f>P46</f>
        <v>46264</v>
      </c>
      <c r="P46" s="66">
        <v>46264</v>
      </c>
      <c r="Q46" s="70">
        <v>46084</v>
      </c>
      <c r="R46" s="139"/>
      <c r="S46" s="139"/>
      <c r="T46" s="139"/>
      <c r="U46" s="139"/>
      <c r="V46" s="139"/>
      <c r="W46" s="139"/>
      <c r="X46" s="139"/>
      <c r="Y46" s="72" t="str">
        <f t="array" ref="Y46" ca="1">_xlfn.SWITCH(TRUE,ISNUMBER(Q46)*Q46&gt;J46,"逾期完成",ISNUMBER(Q46),"按期完成",J46&gt;TODAY(),"待完成","逾期未完成")</f>
        <v>按期完成</v>
      </c>
      <c r="Z46" s="72" t="str">
        <f t="array" ref="Z46" ca="1">_xlfn.SWITCH(TRUE,ISNUMBER(R46)*R46&gt;K46,"逾期完成",ISNUMBER(R46),"按期完成",K46&gt;TODAY(),"待完成","逾期未完成")</f>
        <v>逾期未完成</v>
      </c>
      <c r="AA46" s="73" t="str">
        <f t="array" ref="AA46" ca="1">_xlfn.SWITCH(TRUE,ISNUMBER(S46)*S46&gt;L46,"逾期完成",ISNUMBER(S46),"按期完成",L46&gt;TODAY(),"待完成","逾期未完成")</f>
        <v>逾期未完成</v>
      </c>
      <c r="AB46" s="73" t="str">
        <f t="array" ref="AB46" ca="1">_xlfn.SWITCH(TRUE,ISNUMBER(T46)*T46&gt;M46,"逾期完成",ISNUMBER(T46),"按期完成",M46&gt;TODAY(),"待完成","逾期未完成")</f>
        <v>逾期未完成</v>
      </c>
      <c r="AC46" s="73" t="str">
        <f t="array" ref="AC46" ca="1">_xlfn.SWITCH(TRUE,ISNUMBER(U46)*U46&gt;N46,"逾期完成",ISNUMBER(U46),"按期完成",N46&gt;TODAY(),"待完成","逾期未完成")</f>
        <v>待完成</v>
      </c>
      <c r="AD46" s="73" t="str">
        <f t="array" ref="AD46" ca="1">_xlfn.SWITCH(TRUE,ISNUMBER(V46)*V46&gt;O46,"逾期完成",ISNUMBER(V46),"按期完成",O46&gt;TODAY(),"待完成","逾期未完成")</f>
        <v>待完成</v>
      </c>
      <c r="AE46" s="73" t="str">
        <f t="shared" si="2"/>
        <v>未获证</v>
      </c>
      <c r="AF46" s="73" t="str">
        <f t="array" ref="AF46" ca="1">_xlfn.SWITCH(TRUE,ISNUMBER(W46)*W46&gt;P46,"逾期完成",ISNUMBER(W46),"按期完成",P46&gt;TODAY(),"待完成","逾期未完成")</f>
        <v>待完成</v>
      </c>
      <c r="AG46" s="73" t="s">
        <v>68</v>
      </c>
      <c r="AH46" s="74"/>
      <c r="AI46" s="75"/>
      <c r="AJ46" s="140" t="s">
        <v>69</v>
      </c>
      <c r="AK46" s="140" t="s">
        <v>70</v>
      </c>
      <c r="AL46" s="77" t="s">
        <v>60</v>
      </c>
      <c r="AM46" s="78" t="str">
        <f t="shared" ca="1" si="3"/>
        <v>送检,逾期</v>
      </c>
      <c r="AN46" s="78" t="str">
        <f t="shared" ca="1" si="4"/>
        <v>中试开始（已超期47天）</v>
      </c>
      <c r="AO46" s="79"/>
      <c r="AP46" s="79"/>
    </row>
    <row r="47" spans="1:44" ht="16.5">
      <c r="A47" s="61">
        <v>24</v>
      </c>
      <c r="B47" s="80" t="s">
        <v>55</v>
      </c>
      <c r="C47" s="80">
        <v>10102041</v>
      </c>
      <c r="D47" s="62"/>
      <c r="E47" s="80" t="s">
        <v>173</v>
      </c>
      <c r="F47" s="81" t="s">
        <v>174</v>
      </c>
      <c r="G47" s="99">
        <v>1</v>
      </c>
      <c r="H47" s="82">
        <v>10100855</v>
      </c>
      <c r="I47" s="80" t="s">
        <v>175</v>
      </c>
      <c r="J47" s="83">
        <v>46101</v>
      </c>
      <c r="K47" s="84">
        <v>46162</v>
      </c>
      <c r="L47" s="84">
        <v>46132</v>
      </c>
      <c r="M47" s="84">
        <v>46162</v>
      </c>
      <c r="N47" s="68">
        <v>46162</v>
      </c>
      <c r="O47" s="68">
        <f>P47</f>
        <v>46203</v>
      </c>
      <c r="P47" s="68">
        <v>46203</v>
      </c>
      <c r="Q47" s="93">
        <v>46111</v>
      </c>
      <c r="R47" s="83"/>
      <c r="S47" s="83">
        <v>46132</v>
      </c>
      <c r="T47" s="83"/>
      <c r="U47" s="83"/>
      <c r="V47" s="83"/>
      <c r="W47" s="100"/>
      <c r="X47" s="83"/>
      <c r="Y47" s="72" t="str">
        <f t="array" ref="Y47" ca="1">_xlfn.SWITCH(TRUE,ISNUMBER(Q47)*Q47&gt;J47,"逾期完成",ISNUMBER(Q47),"按期完成",J47&gt;TODAY(),"待完成","逾期未完成")</f>
        <v>逾期完成</v>
      </c>
      <c r="Z47" s="72" t="str">
        <f t="array" ref="Z47" ca="1">_xlfn.SWITCH(TRUE,ISNUMBER(R47)*R47&gt;K47,"逾期完成",ISNUMBER(R47),"按期完成",K47&gt;TODAY(),"待完成","逾期未完成")</f>
        <v>逾期未完成</v>
      </c>
      <c r="AA47" s="73" t="str">
        <f t="array" ref="AA47" ca="1">_xlfn.SWITCH(TRUE,ISNUMBER(S47)*S47&gt;L47,"逾期完成",ISNUMBER(S47),"按期完成",L47&gt;TODAY(),"待完成","逾期未完成")</f>
        <v>按期完成</v>
      </c>
      <c r="AB47" s="73" t="str">
        <f t="array" ref="AB47" ca="1">_xlfn.SWITCH(TRUE,ISNUMBER(T47)*T47&gt;M47,"逾期完成",ISNUMBER(T47),"按期完成",M47&gt;TODAY(),"待完成","逾期未完成")</f>
        <v>逾期未完成</v>
      </c>
      <c r="AC47" s="73" t="str">
        <f t="array" ref="AC47" ca="1">_xlfn.SWITCH(TRUE,ISNUMBER(U47)*U47&gt;N47,"逾期完成",ISNUMBER(U47),"按期完成",N47&gt;TODAY(),"待完成","逾期未完成")</f>
        <v>逾期未完成</v>
      </c>
      <c r="AD47" s="73" t="str">
        <f t="array" ref="AD47" ca="1">_xlfn.SWITCH(TRUE,ISNUMBER(V47)*V47&gt;O47,"逾期完成",ISNUMBER(V47),"按期完成",O47&gt;TODAY(),"待完成","逾期未完成")</f>
        <v>待完成</v>
      </c>
      <c r="AE47" s="73" t="str">
        <f t="shared" si="2"/>
        <v>未获证</v>
      </c>
      <c r="AF47" s="73" t="str">
        <f t="array" ref="AF47" ca="1">_xlfn.SWITCH(TRUE,ISNUMBER(W47)*W47&gt;P47,"逾期完成",ISNUMBER(W47),"按期完成",P47&gt;TODAY(),"待完成","逾期未完成")</f>
        <v>待完成</v>
      </c>
      <c r="AG47" s="73" t="s">
        <v>68</v>
      </c>
      <c r="AH47" s="74"/>
      <c r="AI47" s="75"/>
      <c r="AJ47" s="76" t="s">
        <v>47</v>
      </c>
      <c r="AK47" s="76" t="s">
        <v>89</v>
      </c>
      <c r="AL47" s="77" t="s">
        <v>60</v>
      </c>
      <c r="AM47" s="78" t="str">
        <f t="shared" ca="1" si="3"/>
        <v>送检,逾期</v>
      </c>
      <c r="AN47" s="78" t="str">
        <f t="shared" ca="1" si="4"/>
        <v>中试结束（已超期16天）</v>
      </c>
      <c r="AO47" s="66"/>
      <c r="AP47" s="66"/>
    </row>
    <row r="48" spans="1:44" ht="16.5">
      <c r="A48" s="61">
        <v>10</v>
      </c>
      <c r="B48" s="87" t="s">
        <v>98</v>
      </c>
      <c r="C48" s="87">
        <v>10401581</v>
      </c>
      <c r="D48" s="62"/>
      <c r="E48" s="87" t="s">
        <v>176</v>
      </c>
      <c r="F48" s="88" t="s">
        <v>177</v>
      </c>
      <c r="G48" s="89">
        <v>1</v>
      </c>
      <c r="H48" s="90">
        <v>10401068</v>
      </c>
      <c r="I48" s="87" t="s">
        <v>178</v>
      </c>
      <c r="J48" s="91">
        <v>46111</v>
      </c>
      <c r="K48" s="83">
        <v>46143</v>
      </c>
      <c r="L48" s="84">
        <v>46101</v>
      </c>
      <c r="M48" s="84">
        <v>46132</v>
      </c>
      <c r="N48" s="68">
        <v>46101</v>
      </c>
      <c r="O48" s="68">
        <f>P48</f>
        <v>46143</v>
      </c>
      <c r="P48" s="68">
        <v>46143</v>
      </c>
      <c r="Q48" s="93">
        <v>46062</v>
      </c>
      <c r="R48" s="83">
        <v>46163</v>
      </c>
      <c r="S48" s="83">
        <v>46105</v>
      </c>
      <c r="T48" s="83">
        <f>VLOOKUP(F48,'中试细化（不考核研发）'!B:Q,16,FALSE)</f>
        <v>46163</v>
      </c>
      <c r="U48" s="83"/>
      <c r="V48" s="83"/>
      <c r="W48" s="100"/>
      <c r="X48" s="83"/>
      <c r="Y48" s="72" t="str">
        <f t="array" ref="Y48" ca="1">_xlfn.SWITCH(TRUE,ISNUMBER(Q48)*Q48&gt;J48,"逾期完成",ISNUMBER(Q48),"按期完成",J48&gt;TODAY(),"待完成","逾期未完成")</f>
        <v>按期完成</v>
      </c>
      <c r="Z48" s="72" t="str">
        <f t="array" ref="Z48" ca="1">_xlfn.SWITCH(TRUE,ISNUMBER(R48)*R48&gt;K48,"逾期完成",ISNUMBER(R48),"按期完成",K48&gt;TODAY(),"待完成","逾期未完成")</f>
        <v>逾期完成</v>
      </c>
      <c r="AA48" s="73" t="str">
        <f t="array" ref="AA48" ca="1">_xlfn.SWITCH(TRUE,ISNUMBER(S48)*S48&gt;L48,"逾期完成",ISNUMBER(S48),"按期完成",L48&gt;TODAY(),"待完成","逾期未完成")</f>
        <v>逾期完成</v>
      </c>
      <c r="AB48" s="73" t="str">
        <f t="array" ref="AB48" ca="1">_xlfn.SWITCH(TRUE,ISNUMBER(T48)*T48&gt;M48,"逾期完成",ISNUMBER(T48),"按期完成",M48&gt;TODAY(),"待完成","逾期未完成")</f>
        <v>逾期完成</v>
      </c>
      <c r="AC48" s="73" t="str">
        <f t="array" ref="AC48" ca="1">_xlfn.SWITCH(TRUE,ISNUMBER(U48)*U48&gt;N48,"逾期完成",ISNUMBER(U48),"按期完成",N48&gt;TODAY(),"待完成","逾期未完成")</f>
        <v>逾期未完成</v>
      </c>
      <c r="AD48" s="73" t="str">
        <f t="array" ref="AD48" ca="1">_xlfn.SWITCH(TRUE,ISNUMBER(V48)*V48&gt;O48,"逾期完成",ISNUMBER(V48),"按期完成",O48&gt;TODAY(),"待完成","逾期未完成")</f>
        <v>逾期未完成</v>
      </c>
      <c r="AE48" s="73" t="str">
        <f t="shared" si="2"/>
        <v>未获证</v>
      </c>
      <c r="AF48" s="73" t="str">
        <f t="array" ref="AF48" ca="1">_xlfn.SWITCH(TRUE,ISNUMBER(W48)*W48&gt;P48,"逾期完成",ISNUMBER(W48),"按期完成",P48&gt;TODAY(),"待完成","逾期未完成")</f>
        <v>逾期未完成</v>
      </c>
      <c r="AG48" s="73" t="s">
        <v>68</v>
      </c>
      <c r="AH48" s="74"/>
      <c r="AI48" s="75"/>
      <c r="AJ48" s="76" t="s">
        <v>69</v>
      </c>
      <c r="AK48" s="76" t="s">
        <v>165</v>
      </c>
      <c r="AL48" s="77" t="s">
        <v>60</v>
      </c>
      <c r="AM48" s="78" t="str">
        <f t="shared" ca="1" si="3"/>
        <v>批产,逾期</v>
      </c>
      <c r="AN48" s="78" t="str">
        <f t="shared" ca="1" si="4"/>
        <v>批产开始（已超期77天）</v>
      </c>
      <c r="AO48" s="66">
        <v>45778</v>
      </c>
      <c r="AP48" s="98">
        <v>46143</v>
      </c>
    </row>
    <row r="49" spans="1:42" ht="16.5">
      <c r="A49" s="61">
        <v>49</v>
      </c>
      <c r="B49" s="115" t="s">
        <v>55</v>
      </c>
      <c r="C49" s="115"/>
      <c r="D49" s="62"/>
      <c r="E49" s="134" t="s">
        <v>179</v>
      </c>
      <c r="F49" s="138" t="s">
        <v>180</v>
      </c>
      <c r="G49" s="117">
        <v>1</v>
      </c>
      <c r="H49" s="134">
        <v>10600072</v>
      </c>
      <c r="I49" s="115" t="s">
        <v>181</v>
      </c>
      <c r="J49" s="118">
        <v>46111</v>
      </c>
      <c r="K49" s="68">
        <v>46223</v>
      </c>
      <c r="L49" s="68">
        <v>46183</v>
      </c>
      <c r="M49" s="68">
        <v>46233</v>
      </c>
      <c r="N49" s="68">
        <v>46244</v>
      </c>
      <c r="O49" s="68">
        <v>46254</v>
      </c>
      <c r="P49" s="68">
        <v>46254</v>
      </c>
      <c r="Q49" s="136">
        <v>46111</v>
      </c>
      <c r="R49" s="118"/>
      <c r="S49" s="118">
        <v>46125</v>
      </c>
      <c r="T49" s="118"/>
      <c r="U49" s="118"/>
      <c r="V49" s="118"/>
      <c r="W49" s="119"/>
      <c r="X49" s="118"/>
      <c r="Y49" s="72" t="str">
        <f t="array" ref="Y49" ca="1">_xlfn.SWITCH(TRUE,ISNUMBER(Q49)*Q49&gt;J49,"逾期完成",ISNUMBER(Q49),"按期完成",J49&gt;TODAY(),"待完成","逾期未完成")</f>
        <v>按期完成</v>
      </c>
      <c r="Z49" s="72" t="str">
        <f t="array" ref="Z49" ca="1">_xlfn.SWITCH(TRUE,ISNUMBER(R49)*R49&gt;K49,"逾期完成",ISNUMBER(R49),"按期完成",K49&gt;TODAY(),"待完成","逾期未完成")</f>
        <v>待完成</v>
      </c>
      <c r="AA49" s="73" t="str">
        <f t="array" ref="AA49" ca="1">_xlfn.SWITCH(TRUE,ISNUMBER(S49)*S49&gt;L49,"逾期完成",ISNUMBER(S49),"按期完成",L49&gt;TODAY(),"待完成","逾期未完成")</f>
        <v>按期完成</v>
      </c>
      <c r="AB49" s="73" t="str">
        <f t="array" ref="AB49" ca="1">_xlfn.SWITCH(TRUE,ISNUMBER(T49)*T49&gt;M49,"逾期完成",ISNUMBER(T49),"按期完成",M49&gt;TODAY(),"待完成","逾期未完成")</f>
        <v>待完成</v>
      </c>
      <c r="AC49" s="73" t="str">
        <f t="array" ref="AC49" ca="1">_xlfn.SWITCH(TRUE,ISNUMBER(U49)*U49&gt;N49,"逾期完成",ISNUMBER(U49),"按期完成",N49&gt;TODAY(),"待完成","逾期未完成")</f>
        <v>待完成</v>
      </c>
      <c r="AD49" s="73" t="str">
        <f t="array" ref="AD49" ca="1">_xlfn.SWITCH(TRUE,ISNUMBER(V49)*V49&gt;O49,"逾期完成",ISNUMBER(V49),"按期完成",O49&gt;TODAY(),"待完成","逾期未完成")</f>
        <v>待完成</v>
      </c>
      <c r="AE49" s="73" t="str">
        <f t="shared" si="2"/>
        <v>未获证</v>
      </c>
      <c r="AF49" s="73" t="str">
        <f t="array" ref="AF49" ca="1">_xlfn.SWITCH(TRUE,ISNUMBER(W49)*W49&gt;P49,"逾期完成",ISNUMBER(W49),"按期完成",P49&gt;TODAY(),"待完成","逾期未完成")</f>
        <v>待完成</v>
      </c>
      <c r="AG49" s="73" t="s">
        <v>68</v>
      </c>
      <c r="AH49" s="74"/>
      <c r="AI49" s="75" t="s">
        <v>169</v>
      </c>
      <c r="AJ49" s="76" t="s">
        <v>69</v>
      </c>
      <c r="AK49" s="76" t="s">
        <v>182</v>
      </c>
      <c r="AL49" s="77" t="s">
        <v>60</v>
      </c>
      <c r="AM49" s="78" t="str">
        <f t="shared" ca="1" si="3"/>
        <v>送检,按期</v>
      </c>
      <c r="AN49" s="78" t="str">
        <f t="shared" ca="1" si="4"/>
        <v>中试结束（还有55天）</v>
      </c>
      <c r="AO49" s="79">
        <v>46174</v>
      </c>
      <c r="AP49" s="79">
        <v>46539</v>
      </c>
    </row>
    <row r="50" spans="1:42" ht="16.5">
      <c r="A50" s="61">
        <v>50</v>
      </c>
      <c r="B50" s="115" t="s">
        <v>55</v>
      </c>
      <c r="C50" s="115"/>
      <c r="D50" s="62"/>
      <c r="E50" s="134" t="s">
        <v>183</v>
      </c>
      <c r="F50" s="116" t="s">
        <v>184</v>
      </c>
      <c r="G50" s="117">
        <v>1</v>
      </c>
      <c r="H50" s="134">
        <v>10101010</v>
      </c>
      <c r="I50" s="115" t="s">
        <v>185</v>
      </c>
      <c r="J50" s="118">
        <v>46111</v>
      </c>
      <c r="K50" s="68">
        <v>46244</v>
      </c>
      <c r="L50" s="68">
        <v>46213</v>
      </c>
      <c r="M50" s="68">
        <v>46264</v>
      </c>
      <c r="N50" s="68">
        <v>46275</v>
      </c>
      <c r="O50" s="68">
        <v>46285</v>
      </c>
      <c r="P50" s="68">
        <v>46285</v>
      </c>
      <c r="Q50" s="118">
        <v>46126</v>
      </c>
      <c r="R50" s="118"/>
      <c r="S50" s="118">
        <v>46151</v>
      </c>
      <c r="T50" s="118"/>
      <c r="U50" s="118"/>
      <c r="V50" s="118"/>
      <c r="W50" s="119"/>
      <c r="X50" s="118"/>
      <c r="Y50" s="72" t="str">
        <f t="array" ref="Y50" ca="1">_xlfn.SWITCH(TRUE,ISNUMBER(Q50)*Q50&gt;J50,"逾期完成",ISNUMBER(Q50),"按期完成",J50&gt;TODAY(),"待完成","逾期未完成")</f>
        <v>逾期完成</v>
      </c>
      <c r="Z50" s="72" t="str">
        <f t="array" ref="Z50" ca="1">_xlfn.SWITCH(TRUE,ISNUMBER(R50)*R50&gt;K50,"逾期完成",ISNUMBER(R50),"按期完成",K50&gt;TODAY(),"待完成","逾期未完成")</f>
        <v>待完成</v>
      </c>
      <c r="AA50" s="73" t="str">
        <f t="array" ref="AA50" ca="1">_xlfn.SWITCH(TRUE,ISNUMBER(S50)*S50&gt;L50,"逾期完成",ISNUMBER(S50),"按期完成",L50&gt;TODAY(),"待完成","逾期未完成")</f>
        <v>按期完成</v>
      </c>
      <c r="AB50" s="73" t="str">
        <f t="array" ref="AB50" ca="1">_xlfn.SWITCH(TRUE,ISNUMBER(T50)*T50&gt;M50,"逾期完成",ISNUMBER(T50),"按期完成",M50&gt;TODAY(),"待完成","逾期未完成")</f>
        <v>待完成</v>
      </c>
      <c r="AC50" s="73" t="str">
        <f t="array" ref="AC50" ca="1">_xlfn.SWITCH(TRUE,ISNUMBER(U50)*U50&gt;N50,"逾期完成",ISNUMBER(U50),"按期完成",N50&gt;TODAY(),"待完成","逾期未完成")</f>
        <v>待完成</v>
      </c>
      <c r="AD50" s="73" t="str">
        <f t="array" ref="AD50" ca="1">_xlfn.SWITCH(TRUE,ISNUMBER(V50)*V50&gt;O50,"逾期完成",ISNUMBER(V50),"按期完成",O50&gt;TODAY(),"待完成","逾期未完成")</f>
        <v>待完成</v>
      </c>
      <c r="AE50" s="73" t="str">
        <f t="shared" si="2"/>
        <v>未获证</v>
      </c>
      <c r="AF50" s="73" t="str">
        <f t="array" ref="AF50" ca="1">_xlfn.SWITCH(TRUE,ISNUMBER(W50)*W50&gt;P50,"逾期完成",ISNUMBER(W50),"按期完成",P50&gt;TODAY(),"待完成","逾期未完成")</f>
        <v>待完成</v>
      </c>
      <c r="AG50" s="73" t="s">
        <v>68</v>
      </c>
      <c r="AH50" s="74"/>
      <c r="AI50" s="75" t="s">
        <v>169</v>
      </c>
      <c r="AJ50" s="76" t="s">
        <v>47</v>
      </c>
      <c r="AK50" s="76" t="s">
        <v>182</v>
      </c>
      <c r="AL50" s="77" t="s">
        <v>60</v>
      </c>
      <c r="AM50" s="78" t="str">
        <f t="shared" ca="1" si="3"/>
        <v>送检,逾期</v>
      </c>
      <c r="AN50" s="78" t="str">
        <f t="shared" ca="1" si="4"/>
        <v>中试结束（还有86天）</v>
      </c>
      <c r="AO50" s="79">
        <v>45992</v>
      </c>
      <c r="AP50" s="79">
        <v>46357</v>
      </c>
    </row>
    <row r="51" spans="1:42" ht="35" customHeight="1">
      <c r="A51" s="61">
        <v>51</v>
      </c>
      <c r="B51" s="115" t="s">
        <v>55</v>
      </c>
      <c r="C51" s="115"/>
      <c r="D51" s="62"/>
      <c r="E51" s="134" t="s">
        <v>186</v>
      </c>
      <c r="F51" s="116" t="s">
        <v>187</v>
      </c>
      <c r="G51" s="117">
        <v>1</v>
      </c>
      <c r="H51" s="134">
        <v>10101013</v>
      </c>
      <c r="I51" s="115" t="s">
        <v>188</v>
      </c>
      <c r="J51" s="118">
        <v>46111</v>
      </c>
      <c r="K51" s="68">
        <v>46244</v>
      </c>
      <c r="L51" s="68">
        <v>46213</v>
      </c>
      <c r="M51" s="68">
        <v>46264</v>
      </c>
      <c r="N51" s="68">
        <v>46275</v>
      </c>
      <c r="O51" s="68">
        <v>46285</v>
      </c>
      <c r="P51" s="68">
        <v>46285</v>
      </c>
      <c r="Q51" s="136">
        <v>46126</v>
      </c>
      <c r="R51" s="118"/>
      <c r="S51" s="118">
        <v>46151</v>
      </c>
      <c r="T51" s="118"/>
      <c r="U51" s="118"/>
      <c r="V51" s="118"/>
      <c r="W51" s="119"/>
      <c r="X51" s="118"/>
      <c r="Y51" s="72" t="str">
        <f t="array" ref="Y51" ca="1">_xlfn.SWITCH(TRUE,ISNUMBER(Q51)*Q51&gt;J51,"逾期完成",ISNUMBER(Q51),"按期完成",J51&gt;TODAY(),"待完成","逾期未完成")</f>
        <v>逾期完成</v>
      </c>
      <c r="Z51" s="72" t="str">
        <f t="array" ref="Z51" ca="1">_xlfn.SWITCH(TRUE,ISNUMBER(R51)*R51&gt;K51,"逾期完成",ISNUMBER(R51),"按期完成",K51&gt;TODAY(),"待完成","逾期未完成")</f>
        <v>待完成</v>
      </c>
      <c r="AA51" s="73" t="str">
        <f t="array" ref="AA51" ca="1">_xlfn.SWITCH(TRUE,ISNUMBER(S51)*S51&gt;L51,"逾期完成",ISNUMBER(S51),"按期完成",L51&gt;TODAY(),"待完成","逾期未完成")</f>
        <v>按期完成</v>
      </c>
      <c r="AB51" s="73" t="str">
        <f t="array" ref="AB51" ca="1">_xlfn.SWITCH(TRUE,ISNUMBER(T51)*T51&gt;M51,"逾期完成",ISNUMBER(T51),"按期完成",M51&gt;TODAY(),"待完成","逾期未完成")</f>
        <v>待完成</v>
      </c>
      <c r="AC51" s="73" t="str">
        <f t="array" ref="AC51" ca="1">_xlfn.SWITCH(TRUE,ISNUMBER(U51)*U51&gt;N51,"逾期完成",ISNUMBER(U51),"按期完成",N51&gt;TODAY(),"待完成","逾期未完成")</f>
        <v>待完成</v>
      </c>
      <c r="AD51" s="73" t="str">
        <f t="array" ref="AD51" ca="1">_xlfn.SWITCH(TRUE,ISNUMBER(V51)*V51&gt;O51,"逾期完成",ISNUMBER(V51),"按期完成",O51&gt;TODAY(),"待完成","逾期未完成")</f>
        <v>待完成</v>
      </c>
      <c r="AE51" s="73" t="str">
        <f t="shared" si="2"/>
        <v>未获证</v>
      </c>
      <c r="AF51" s="73" t="str">
        <f t="array" ref="AF51" ca="1">_xlfn.SWITCH(TRUE,ISNUMBER(W51)*W51&gt;P51,"逾期完成",ISNUMBER(W51),"按期完成",P51&gt;TODAY(),"待完成","逾期未完成")</f>
        <v>待完成</v>
      </c>
      <c r="AG51" s="73" t="s">
        <v>68</v>
      </c>
      <c r="AH51" s="74"/>
      <c r="AI51" s="75" t="s">
        <v>169</v>
      </c>
      <c r="AJ51" s="76" t="s">
        <v>47</v>
      </c>
      <c r="AK51" s="76" t="s">
        <v>182</v>
      </c>
      <c r="AL51" s="77" t="s">
        <v>60</v>
      </c>
      <c r="AM51" s="78" t="str">
        <f t="shared" ca="1" si="3"/>
        <v>送检,逾期</v>
      </c>
      <c r="AN51" s="78" t="str">
        <f t="shared" ca="1" si="4"/>
        <v>中试结束（还有86天）</v>
      </c>
      <c r="AO51" s="79">
        <v>45992</v>
      </c>
      <c r="AP51" s="79">
        <v>46357</v>
      </c>
    </row>
    <row r="52" spans="1:42" ht="35" customHeight="1">
      <c r="A52" s="61">
        <v>25</v>
      </c>
      <c r="B52" s="61" t="s">
        <v>55</v>
      </c>
      <c r="C52" s="61"/>
      <c r="D52" s="62"/>
      <c r="E52" s="61" t="s">
        <v>189</v>
      </c>
      <c r="F52" s="63" t="s">
        <v>190</v>
      </c>
      <c r="G52" s="64">
        <v>1</v>
      </c>
      <c r="H52" s="65" t="s">
        <v>45</v>
      </c>
      <c r="I52" s="61" t="s">
        <v>45</v>
      </c>
      <c r="J52" s="66">
        <v>46111</v>
      </c>
      <c r="K52" s="67">
        <v>46741</v>
      </c>
      <c r="L52" s="67">
        <v>46558</v>
      </c>
      <c r="M52" s="66">
        <f t="shared" ref="M52:M59" si="7">IF((L52+IF(AJ52="高",45,30))&gt;P52,P52-30,L52+IF(AJ52="高",45,30))</f>
        <v>46603</v>
      </c>
      <c r="N52" s="68">
        <f t="shared" ref="N52:N59" si="8">P52-IF(AJ52="高",50,30)</f>
        <v>46691</v>
      </c>
      <c r="O52" s="68">
        <f t="shared" ref="O52:O63" si="9">P52</f>
        <v>46741</v>
      </c>
      <c r="P52" s="68">
        <v>46741</v>
      </c>
      <c r="Q52" s="70">
        <v>46111</v>
      </c>
      <c r="R52" s="66"/>
      <c r="S52" s="66"/>
      <c r="T52" s="66"/>
      <c r="U52" s="66"/>
      <c r="V52" s="66"/>
      <c r="W52" s="71"/>
      <c r="X52" s="66"/>
      <c r="Y52" s="72" t="str">
        <f t="array" ref="Y52" ca="1">_xlfn.SWITCH(TRUE,ISNUMBER(Q52)*Q52&gt;J52,"逾期完成",ISNUMBER(Q52),"按期完成",J52&gt;TODAY(),"待完成","逾期未完成")</f>
        <v>按期完成</v>
      </c>
      <c r="Z52" s="72" t="str">
        <f t="array" ref="Z52" ca="1">_xlfn.SWITCH(TRUE,ISNUMBER(R52)*R52&gt;K52,"逾期完成",ISNUMBER(R52),"按期完成",K52&gt;TODAY(),"待完成","逾期未完成")</f>
        <v>待完成</v>
      </c>
      <c r="AA52" s="73" t="str">
        <f t="array" ref="AA52" ca="1">_xlfn.SWITCH(TRUE,ISNUMBER(S52)*S52&gt;L52,"逾期完成",ISNUMBER(S52),"按期完成",L52&gt;TODAY(),"待完成","逾期未完成")</f>
        <v>待完成</v>
      </c>
      <c r="AB52" s="73" t="str">
        <f t="array" ref="AB52" ca="1">_xlfn.SWITCH(TRUE,ISNUMBER(T52)*T52&gt;M52,"逾期完成",ISNUMBER(T52),"按期完成",M52&gt;TODAY(),"待完成","逾期未完成")</f>
        <v>待完成</v>
      </c>
      <c r="AC52" s="73" t="str">
        <f t="array" ref="AC52" ca="1">_xlfn.SWITCH(TRUE,ISNUMBER(U52)*U52&gt;N52,"逾期完成",ISNUMBER(U52),"按期完成",N52&gt;TODAY(),"待完成","逾期未完成")</f>
        <v>待完成</v>
      </c>
      <c r="AD52" s="73" t="str">
        <f t="array" ref="AD52" ca="1">_xlfn.SWITCH(TRUE,ISNUMBER(V52)*V52&gt;O52,"逾期完成",ISNUMBER(V52),"按期完成",O52&gt;TODAY(),"待完成","逾期未完成")</f>
        <v>待完成</v>
      </c>
      <c r="AE52" s="73" t="str">
        <f t="shared" si="2"/>
        <v>未获证</v>
      </c>
      <c r="AF52" s="73" t="str">
        <f t="array" ref="AF52" ca="1">_xlfn.SWITCH(TRUE,ISNUMBER(W52)*W52&gt;P52,"逾期完成",ISNUMBER(W52),"按期完成",P52&gt;TODAY(),"待完成","逾期未完成")</f>
        <v>待完成</v>
      </c>
      <c r="AG52" s="73" t="s">
        <v>68</v>
      </c>
      <c r="AH52" s="74"/>
      <c r="AI52" s="75"/>
      <c r="AJ52" s="76" t="s">
        <v>69</v>
      </c>
      <c r="AK52" s="76" t="s">
        <v>89</v>
      </c>
      <c r="AL52" s="77" t="s">
        <v>60</v>
      </c>
      <c r="AM52" s="78" t="str">
        <f t="shared" ca="1" si="3"/>
        <v>送检,按期</v>
      </c>
      <c r="AN52" s="78" t="str">
        <f t="shared" ca="1" si="4"/>
        <v>中试开始（还有380天）</v>
      </c>
      <c r="AO52" s="66"/>
      <c r="AP52" s="98"/>
    </row>
    <row r="53" spans="1:42" ht="16.5">
      <c r="A53" s="61">
        <v>26</v>
      </c>
      <c r="B53" s="80" t="s">
        <v>55</v>
      </c>
      <c r="C53" s="80"/>
      <c r="D53" s="62"/>
      <c r="E53" s="80" t="s">
        <v>191</v>
      </c>
      <c r="F53" s="81" t="s">
        <v>192</v>
      </c>
      <c r="G53" s="99">
        <v>1</v>
      </c>
      <c r="H53" s="82" t="s">
        <v>45</v>
      </c>
      <c r="I53" s="80" t="s">
        <v>45</v>
      </c>
      <c r="J53" s="83">
        <v>46111</v>
      </c>
      <c r="K53" s="84">
        <v>46741</v>
      </c>
      <c r="L53" s="84">
        <v>46558</v>
      </c>
      <c r="M53" s="91">
        <f t="shared" si="7"/>
        <v>46603</v>
      </c>
      <c r="N53" s="68">
        <f t="shared" si="8"/>
        <v>46691</v>
      </c>
      <c r="O53" s="68">
        <f t="shared" si="9"/>
        <v>46741</v>
      </c>
      <c r="P53" s="69">
        <v>46741</v>
      </c>
      <c r="Q53" s="93">
        <v>46111</v>
      </c>
      <c r="R53" s="83"/>
      <c r="S53" s="83"/>
      <c r="T53" s="83"/>
      <c r="U53" s="83"/>
      <c r="V53" s="83"/>
      <c r="W53" s="100"/>
      <c r="X53" s="83"/>
      <c r="Y53" s="72" t="str">
        <f t="array" ref="Y53" ca="1">_xlfn.SWITCH(TRUE,ISNUMBER(Q53)*Q53&gt;J53,"逾期完成",ISNUMBER(Q53),"按期完成",J53&gt;TODAY(),"待完成","逾期未完成")</f>
        <v>按期完成</v>
      </c>
      <c r="Z53" s="72" t="str">
        <f t="array" ref="Z53" ca="1">_xlfn.SWITCH(TRUE,ISNUMBER(R53)*R53&gt;K53,"逾期完成",ISNUMBER(R53),"按期完成",K53&gt;TODAY(),"待完成","逾期未完成")</f>
        <v>待完成</v>
      </c>
      <c r="AA53" s="73" t="str">
        <f t="array" ref="AA53" ca="1">_xlfn.SWITCH(TRUE,ISNUMBER(S53)*S53&gt;L53,"逾期完成",ISNUMBER(S53),"按期完成",L53&gt;TODAY(),"待完成","逾期未完成")</f>
        <v>待完成</v>
      </c>
      <c r="AB53" s="73" t="str">
        <f t="array" ref="AB53" ca="1">_xlfn.SWITCH(TRUE,ISNUMBER(T53)*T53&gt;M53,"逾期完成",ISNUMBER(T53),"按期完成",M53&gt;TODAY(),"待完成","逾期未完成")</f>
        <v>待完成</v>
      </c>
      <c r="AC53" s="73" t="str">
        <f t="array" ref="AC53" ca="1">_xlfn.SWITCH(TRUE,ISNUMBER(U53)*U53&gt;N53,"逾期完成",ISNUMBER(U53),"按期完成",N53&gt;TODAY(),"待完成","逾期未完成")</f>
        <v>待完成</v>
      </c>
      <c r="AD53" s="73" t="str">
        <f t="array" ref="AD53" ca="1">_xlfn.SWITCH(TRUE,ISNUMBER(V53)*V53&gt;O53,"逾期完成",ISNUMBER(V53),"按期完成",O53&gt;TODAY(),"待完成","逾期未完成")</f>
        <v>待完成</v>
      </c>
      <c r="AE53" s="73" t="str">
        <f t="shared" si="2"/>
        <v>未获证</v>
      </c>
      <c r="AF53" s="73" t="str">
        <f t="array" ref="AF53" ca="1">_xlfn.SWITCH(TRUE,ISNUMBER(W53)*W53&gt;P53,"逾期完成",ISNUMBER(W53),"按期完成",P53&gt;TODAY(),"待完成","逾期未完成")</f>
        <v>待完成</v>
      </c>
      <c r="AG53" s="73" t="s">
        <v>68</v>
      </c>
      <c r="AH53" s="74"/>
      <c r="AI53" s="75"/>
      <c r="AJ53" s="76" t="s">
        <v>69</v>
      </c>
      <c r="AK53" s="76" t="s">
        <v>89</v>
      </c>
      <c r="AL53" s="77" t="s">
        <v>60</v>
      </c>
      <c r="AM53" s="78" t="str">
        <f t="shared" ca="1" si="3"/>
        <v>送检,按期</v>
      </c>
      <c r="AN53" s="78" t="str">
        <f t="shared" ca="1" si="4"/>
        <v>中试开始（还有380天）</v>
      </c>
      <c r="AO53" s="66"/>
      <c r="AP53" s="98"/>
    </row>
    <row r="54" spans="1:42" ht="16.5">
      <c r="A54" s="61">
        <v>27</v>
      </c>
      <c r="B54" s="61" t="s">
        <v>55</v>
      </c>
      <c r="C54" s="61"/>
      <c r="D54" s="62"/>
      <c r="E54" s="61" t="s">
        <v>193</v>
      </c>
      <c r="F54" s="63" t="s">
        <v>194</v>
      </c>
      <c r="G54" s="64">
        <v>1</v>
      </c>
      <c r="H54" s="65" t="s">
        <v>45</v>
      </c>
      <c r="I54" s="61" t="s">
        <v>45</v>
      </c>
      <c r="J54" s="66">
        <v>46111</v>
      </c>
      <c r="K54" s="67">
        <v>46741</v>
      </c>
      <c r="L54" s="67">
        <v>46558</v>
      </c>
      <c r="M54" s="66">
        <f t="shared" si="7"/>
        <v>46603</v>
      </c>
      <c r="N54" s="68">
        <f t="shared" si="8"/>
        <v>46691</v>
      </c>
      <c r="O54" s="68">
        <f t="shared" si="9"/>
        <v>46741</v>
      </c>
      <c r="P54" s="69">
        <v>46741</v>
      </c>
      <c r="Q54" s="70">
        <v>46111</v>
      </c>
      <c r="R54" s="66"/>
      <c r="S54" s="66"/>
      <c r="T54" s="66"/>
      <c r="U54" s="66"/>
      <c r="V54" s="66"/>
      <c r="W54" s="71"/>
      <c r="X54" s="66"/>
      <c r="Y54" s="72" t="str">
        <f t="array" ref="Y54" ca="1">_xlfn.SWITCH(TRUE,ISNUMBER(Q54)*Q54&gt;J54,"逾期完成",ISNUMBER(Q54),"按期完成",J54&gt;TODAY(),"待完成","逾期未完成")</f>
        <v>按期完成</v>
      </c>
      <c r="Z54" s="72" t="str">
        <f t="array" ref="Z54" ca="1">_xlfn.SWITCH(TRUE,ISNUMBER(R54)*R54&gt;K54,"逾期完成",ISNUMBER(R54),"按期完成",K54&gt;TODAY(),"待完成","逾期未完成")</f>
        <v>待完成</v>
      </c>
      <c r="AA54" s="73" t="str">
        <f t="array" ref="AA54" ca="1">_xlfn.SWITCH(TRUE,ISNUMBER(S54)*S54&gt;L54,"逾期完成",ISNUMBER(S54),"按期完成",L54&gt;TODAY(),"待完成","逾期未完成")</f>
        <v>待完成</v>
      </c>
      <c r="AB54" s="73" t="str">
        <f t="array" ref="AB54" ca="1">_xlfn.SWITCH(TRUE,ISNUMBER(T54)*T54&gt;M54,"逾期完成",ISNUMBER(T54),"按期完成",M54&gt;TODAY(),"待完成","逾期未完成")</f>
        <v>待完成</v>
      </c>
      <c r="AC54" s="73" t="str">
        <f t="array" ref="AC54" ca="1">_xlfn.SWITCH(TRUE,ISNUMBER(U54)*U54&gt;N54,"逾期完成",ISNUMBER(U54),"按期完成",N54&gt;TODAY(),"待完成","逾期未完成")</f>
        <v>待完成</v>
      </c>
      <c r="AD54" s="73" t="str">
        <f t="array" ref="AD54" ca="1">_xlfn.SWITCH(TRUE,ISNUMBER(V54)*V54&gt;O54,"逾期完成",ISNUMBER(V54),"按期完成",O54&gt;TODAY(),"待完成","逾期未完成")</f>
        <v>待完成</v>
      </c>
      <c r="AE54" s="73" t="str">
        <f t="shared" si="2"/>
        <v>未获证</v>
      </c>
      <c r="AF54" s="73" t="str">
        <f t="array" ref="AF54" ca="1">_xlfn.SWITCH(TRUE,ISNUMBER(W54)*W54&gt;P54,"逾期完成",ISNUMBER(W54),"按期完成",P54&gt;TODAY(),"待完成","逾期未完成")</f>
        <v>待完成</v>
      </c>
      <c r="AG54" s="73" t="s">
        <v>68</v>
      </c>
      <c r="AH54" s="74"/>
      <c r="AI54" s="75"/>
      <c r="AJ54" s="76" t="s">
        <v>69</v>
      </c>
      <c r="AK54" s="76" t="s">
        <v>89</v>
      </c>
      <c r="AL54" s="77" t="s">
        <v>60</v>
      </c>
      <c r="AM54" s="78" t="str">
        <f t="shared" ca="1" si="3"/>
        <v>送检,按期</v>
      </c>
      <c r="AN54" s="78" t="str">
        <f t="shared" ca="1" si="4"/>
        <v>中试开始（还有380天）</v>
      </c>
      <c r="AO54" s="66"/>
      <c r="AP54" s="98"/>
    </row>
    <row r="55" spans="1:42" ht="16.5">
      <c r="A55" s="61">
        <v>28</v>
      </c>
      <c r="B55" s="80" t="s">
        <v>55</v>
      </c>
      <c r="C55" s="80"/>
      <c r="D55" s="62"/>
      <c r="E55" s="80" t="s">
        <v>195</v>
      </c>
      <c r="F55" s="81" t="s">
        <v>196</v>
      </c>
      <c r="G55" s="99">
        <v>1</v>
      </c>
      <c r="H55" s="82" t="s">
        <v>45</v>
      </c>
      <c r="I55" s="80" t="s">
        <v>45</v>
      </c>
      <c r="J55" s="83">
        <v>46111</v>
      </c>
      <c r="K55" s="84">
        <v>46741</v>
      </c>
      <c r="L55" s="84">
        <v>46558</v>
      </c>
      <c r="M55" s="83">
        <f t="shared" si="7"/>
        <v>46603</v>
      </c>
      <c r="N55" s="68">
        <f t="shared" si="8"/>
        <v>46691</v>
      </c>
      <c r="O55" s="68">
        <f t="shared" si="9"/>
        <v>46741</v>
      </c>
      <c r="P55" s="69">
        <v>46741</v>
      </c>
      <c r="Q55" s="93">
        <v>46111</v>
      </c>
      <c r="R55" s="83"/>
      <c r="S55" s="83"/>
      <c r="T55" s="83"/>
      <c r="U55" s="83"/>
      <c r="V55" s="83"/>
      <c r="W55" s="100"/>
      <c r="X55" s="83"/>
      <c r="Y55" s="72" t="str">
        <f t="array" ref="Y55" ca="1">_xlfn.SWITCH(TRUE,ISNUMBER(Q55)*Q55&gt;J55,"逾期完成",ISNUMBER(Q55),"按期完成",J55&gt;TODAY(),"待完成","逾期未完成")</f>
        <v>按期完成</v>
      </c>
      <c r="Z55" s="72" t="str">
        <f t="array" ref="Z55" ca="1">_xlfn.SWITCH(TRUE,ISNUMBER(R55)*R55&gt;K55,"逾期完成",ISNUMBER(R55),"按期完成",K55&gt;TODAY(),"待完成","逾期未完成")</f>
        <v>待完成</v>
      </c>
      <c r="AA55" s="73" t="str">
        <f t="array" ref="AA55" ca="1">_xlfn.SWITCH(TRUE,ISNUMBER(S55)*S55&gt;L55,"逾期完成",ISNUMBER(S55),"按期完成",L55&gt;TODAY(),"待完成","逾期未完成")</f>
        <v>待完成</v>
      </c>
      <c r="AB55" s="73" t="str">
        <f t="array" ref="AB55" ca="1">_xlfn.SWITCH(TRUE,ISNUMBER(T55)*T55&gt;M55,"逾期完成",ISNUMBER(T55),"按期完成",M55&gt;TODAY(),"待完成","逾期未完成")</f>
        <v>待完成</v>
      </c>
      <c r="AC55" s="73" t="str">
        <f t="array" ref="AC55" ca="1">_xlfn.SWITCH(TRUE,ISNUMBER(U55)*U55&gt;N55,"逾期完成",ISNUMBER(U55),"按期完成",N55&gt;TODAY(),"待完成","逾期未完成")</f>
        <v>待完成</v>
      </c>
      <c r="AD55" s="73" t="str">
        <f t="array" ref="AD55" ca="1">_xlfn.SWITCH(TRUE,ISNUMBER(V55)*V55&gt;O55,"逾期完成",ISNUMBER(V55),"按期完成",O55&gt;TODAY(),"待完成","逾期未完成")</f>
        <v>待完成</v>
      </c>
      <c r="AE55" s="73" t="str">
        <f t="shared" si="2"/>
        <v>未获证</v>
      </c>
      <c r="AF55" s="73" t="str">
        <f t="array" ref="AF55" ca="1">_xlfn.SWITCH(TRUE,ISNUMBER(W55)*W55&gt;P55,"逾期完成",ISNUMBER(W55),"按期完成",P55&gt;TODAY(),"待完成","逾期未完成")</f>
        <v>待完成</v>
      </c>
      <c r="AG55" s="73" t="s">
        <v>68</v>
      </c>
      <c r="AH55" s="74"/>
      <c r="AI55" s="75"/>
      <c r="AJ55" s="76" t="s">
        <v>69</v>
      </c>
      <c r="AK55" s="76" t="s">
        <v>89</v>
      </c>
      <c r="AL55" s="77" t="s">
        <v>60</v>
      </c>
      <c r="AM55" s="78" t="str">
        <f t="shared" ca="1" si="3"/>
        <v>送检,按期</v>
      </c>
      <c r="AN55" s="78" t="str">
        <f t="shared" ca="1" si="4"/>
        <v>中试开始（还有380天）</v>
      </c>
      <c r="AO55" s="66"/>
      <c r="AP55" s="98"/>
    </row>
    <row r="56" spans="1:42" ht="16.5">
      <c r="A56" s="61">
        <v>29</v>
      </c>
      <c r="B56" s="61" t="s">
        <v>55</v>
      </c>
      <c r="C56" s="61"/>
      <c r="D56" s="62"/>
      <c r="E56" s="61" t="s">
        <v>197</v>
      </c>
      <c r="F56" s="63" t="s">
        <v>198</v>
      </c>
      <c r="G56" s="64">
        <v>1</v>
      </c>
      <c r="H56" s="65" t="s">
        <v>45</v>
      </c>
      <c r="I56" s="61" t="s">
        <v>45</v>
      </c>
      <c r="J56" s="66">
        <v>46111</v>
      </c>
      <c r="K56" s="67">
        <v>46741</v>
      </c>
      <c r="L56" s="67">
        <v>46558</v>
      </c>
      <c r="M56" s="66">
        <f t="shared" si="7"/>
        <v>46603</v>
      </c>
      <c r="N56" s="68">
        <f t="shared" si="8"/>
        <v>46691</v>
      </c>
      <c r="O56" s="68">
        <f t="shared" si="9"/>
        <v>46741</v>
      </c>
      <c r="P56" s="69">
        <v>46741</v>
      </c>
      <c r="Q56" s="70">
        <v>46111</v>
      </c>
      <c r="R56" s="66"/>
      <c r="S56" s="66"/>
      <c r="T56" s="66"/>
      <c r="U56" s="66"/>
      <c r="V56" s="66"/>
      <c r="W56" s="71"/>
      <c r="X56" s="66"/>
      <c r="Y56" s="72" t="str">
        <f t="array" ref="Y56" ca="1">_xlfn.SWITCH(TRUE,ISNUMBER(Q56)*Q56&gt;J56,"逾期完成",ISNUMBER(Q56),"按期完成",J56&gt;TODAY(),"待完成","逾期未完成")</f>
        <v>按期完成</v>
      </c>
      <c r="Z56" s="72" t="str">
        <f t="array" ref="Z56" ca="1">_xlfn.SWITCH(TRUE,ISNUMBER(R56)*R56&gt;K56,"逾期完成",ISNUMBER(R56),"按期完成",K56&gt;TODAY(),"待完成","逾期未完成")</f>
        <v>待完成</v>
      </c>
      <c r="AA56" s="73" t="str">
        <f t="array" ref="AA56" ca="1">_xlfn.SWITCH(TRUE,ISNUMBER(S56)*S56&gt;L56,"逾期完成",ISNUMBER(S56),"按期完成",L56&gt;TODAY(),"待完成","逾期未完成")</f>
        <v>待完成</v>
      </c>
      <c r="AB56" s="73" t="str">
        <f t="array" ref="AB56" ca="1">_xlfn.SWITCH(TRUE,ISNUMBER(T56)*T56&gt;M56,"逾期完成",ISNUMBER(T56),"按期完成",M56&gt;TODAY(),"待完成","逾期未完成")</f>
        <v>待完成</v>
      </c>
      <c r="AC56" s="73" t="str">
        <f t="array" ref="AC56" ca="1">_xlfn.SWITCH(TRUE,ISNUMBER(U56)*U56&gt;N56,"逾期完成",ISNUMBER(U56),"按期完成",N56&gt;TODAY(),"待完成","逾期未完成")</f>
        <v>待完成</v>
      </c>
      <c r="AD56" s="73" t="str">
        <f t="array" ref="AD56" ca="1">_xlfn.SWITCH(TRUE,ISNUMBER(V56)*V56&gt;O56,"逾期完成",ISNUMBER(V56),"按期完成",O56&gt;TODAY(),"待完成","逾期未完成")</f>
        <v>待完成</v>
      </c>
      <c r="AE56" s="73" t="str">
        <f t="shared" si="2"/>
        <v>未获证</v>
      </c>
      <c r="AF56" s="73" t="str">
        <f t="array" ref="AF56" ca="1">_xlfn.SWITCH(TRUE,ISNUMBER(W56)*W56&gt;P56,"逾期完成",ISNUMBER(W56),"按期完成",P56&gt;TODAY(),"待完成","逾期未完成")</f>
        <v>待完成</v>
      </c>
      <c r="AG56" s="73" t="s">
        <v>68</v>
      </c>
      <c r="AH56" s="74"/>
      <c r="AI56" s="75"/>
      <c r="AJ56" s="76" t="s">
        <v>69</v>
      </c>
      <c r="AK56" s="76" t="s">
        <v>89</v>
      </c>
      <c r="AL56" s="77" t="s">
        <v>60</v>
      </c>
      <c r="AM56" s="78" t="str">
        <f t="shared" ca="1" si="3"/>
        <v>送检,按期</v>
      </c>
      <c r="AN56" s="78" t="str">
        <f t="shared" ca="1" si="4"/>
        <v>中试开始（还有380天）</v>
      </c>
      <c r="AO56" s="66"/>
      <c r="AP56" s="66"/>
    </row>
    <row r="57" spans="1:42" ht="16.5">
      <c r="A57" s="61">
        <v>30</v>
      </c>
      <c r="B57" s="80" t="s">
        <v>55</v>
      </c>
      <c r="C57" s="80"/>
      <c r="D57" s="62"/>
      <c r="E57" s="80" t="s">
        <v>199</v>
      </c>
      <c r="F57" s="81" t="s">
        <v>200</v>
      </c>
      <c r="G57" s="99">
        <v>1</v>
      </c>
      <c r="H57" s="82" t="s">
        <v>45</v>
      </c>
      <c r="I57" s="80" t="s">
        <v>45</v>
      </c>
      <c r="J57" s="83">
        <v>46111</v>
      </c>
      <c r="K57" s="84">
        <v>46741</v>
      </c>
      <c r="L57" s="84">
        <v>46558</v>
      </c>
      <c r="M57" s="83">
        <f t="shared" si="7"/>
        <v>46603</v>
      </c>
      <c r="N57" s="68">
        <f t="shared" si="8"/>
        <v>46691</v>
      </c>
      <c r="O57" s="68">
        <f t="shared" si="9"/>
        <v>46741</v>
      </c>
      <c r="P57" s="69">
        <v>46741</v>
      </c>
      <c r="Q57" s="83">
        <v>46111</v>
      </c>
      <c r="R57" s="83"/>
      <c r="S57" s="83"/>
      <c r="T57" s="83"/>
      <c r="U57" s="83"/>
      <c r="V57" s="83"/>
      <c r="W57" s="100"/>
      <c r="X57" s="83"/>
      <c r="Y57" s="72" t="str">
        <f t="array" ref="Y57" ca="1">_xlfn.SWITCH(TRUE,ISNUMBER(Q57)*Q57&gt;J57,"逾期完成",ISNUMBER(Q57),"按期完成",J57&gt;TODAY(),"待完成","逾期未完成")</f>
        <v>按期完成</v>
      </c>
      <c r="Z57" s="72" t="str">
        <f t="array" ref="Z57" ca="1">_xlfn.SWITCH(TRUE,ISNUMBER(R57)*R57&gt;K57,"逾期完成",ISNUMBER(R57),"按期完成",K57&gt;TODAY(),"待完成","逾期未完成")</f>
        <v>待完成</v>
      </c>
      <c r="AA57" s="73" t="str">
        <f t="array" ref="AA57" ca="1">_xlfn.SWITCH(TRUE,ISNUMBER(S57)*S57&gt;L57,"逾期完成",ISNUMBER(S57),"按期完成",L57&gt;TODAY(),"待完成","逾期未完成")</f>
        <v>待完成</v>
      </c>
      <c r="AB57" s="73" t="str">
        <f t="array" ref="AB57" ca="1">_xlfn.SWITCH(TRUE,ISNUMBER(T57)*T57&gt;M57,"逾期完成",ISNUMBER(T57),"按期完成",M57&gt;TODAY(),"待完成","逾期未完成")</f>
        <v>待完成</v>
      </c>
      <c r="AC57" s="73" t="str">
        <f t="array" ref="AC57" ca="1">_xlfn.SWITCH(TRUE,ISNUMBER(U57)*U57&gt;N57,"逾期完成",ISNUMBER(U57),"按期完成",N57&gt;TODAY(),"待完成","逾期未完成")</f>
        <v>待完成</v>
      </c>
      <c r="AD57" s="73" t="str">
        <f t="array" ref="AD57" ca="1">_xlfn.SWITCH(TRUE,ISNUMBER(V57)*V57&gt;O57,"逾期完成",ISNUMBER(V57),"按期完成",O57&gt;TODAY(),"待完成","逾期未完成")</f>
        <v>待完成</v>
      </c>
      <c r="AE57" s="73" t="str">
        <f t="shared" si="2"/>
        <v>未获证</v>
      </c>
      <c r="AF57" s="73" t="str">
        <f t="array" ref="AF57" ca="1">_xlfn.SWITCH(TRUE,ISNUMBER(W57)*W57&gt;P57,"逾期完成",ISNUMBER(W57),"按期完成",P57&gt;TODAY(),"待完成","逾期未完成")</f>
        <v>待完成</v>
      </c>
      <c r="AG57" s="73" t="s">
        <v>68</v>
      </c>
      <c r="AH57" s="74"/>
      <c r="AI57" s="75"/>
      <c r="AJ57" s="76" t="s">
        <v>69</v>
      </c>
      <c r="AK57" s="76" t="s">
        <v>89</v>
      </c>
      <c r="AL57" s="77" t="s">
        <v>60</v>
      </c>
      <c r="AM57" s="78" t="str">
        <f t="shared" ca="1" si="3"/>
        <v>送检,按期</v>
      </c>
      <c r="AN57" s="78" t="str">
        <f t="shared" ca="1" si="4"/>
        <v>中试开始（还有380天）</v>
      </c>
      <c r="AO57" s="66"/>
      <c r="AP57" s="66"/>
    </row>
    <row r="58" spans="1:42" ht="16.5">
      <c r="A58" s="61">
        <v>31</v>
      </c>
      <c r="B58" s="61" t="s">
        <v>55</v>
      </c>
      <c r="C58" s="61"/>
      <c r="D58" s="62"/>
      <c r="E58" s="61" t="s">
        <v>199</v>
      </c>
      <c r="F58" s="63" t="s">
        <v>201</v>
      </c>
      <c r="G58" s="64">
        <v>1</v>
      </c>
      <c r="H58" s="65" t="s">
        <v>45</v>
      </c>
      <c r="I58" s="61" t="s">
        <v>45</v>
      </c>
      <c r="J58" s="66">
        <v>46111</v>
      </c>
      <c r="K58" s="141">
        <v>46741</v>
      </c>
      <c r="L58" s="141">
        <v>46558</v>
      </c>
      <c r="M58" s="142">
        <f t="shared" si="7"/>
        <v>46603</v>
      </c>
      <c r="N58" s="143">
        <f t="shared" si="8"/>
        <v>46691</v>
      </c>
      <c r="O58" s="143">
        <f t="shared" si="9"/>
        <v>46741</v>
      </c>
      <c r="P58" s="144">
        <v>46741</v>
      </c>
      <c r="Q58" s="70">
        <v>46111</v>
      </c>
      <c r="R58" s="66"/>
      <c r="S58" s="66"/>
      <c r="T58" s="66"/>
      <c r="U58" s="66"/>
      <c r="V58" s="66"/>
      <c r="W58" s="71"/>
      <c r="X58" s="66"/>
      <c r="Y58" s="72" t="str">
        <f t="array" ref="Y58" ca="1">_xlfn.SWITCH(TRUE,ISNUMBER(Q58)*Q58&gt;J58,"逾期完成",ISNUMBER(Q58),"按期完成",J58&gt;TODAY(),"待完成","逾期未完成")</f>
        <v>按期完成</v>
      </c>
      <c r="Z58" s="72" t="str">
        <f t="array" ref="Z58" ca="1">_xlfn.SWITCH(TRUE,ISNUMBER(R58)*R58&gt;K58,"逾期完成",ISNUMBER(R58),"按期完成",K58&gt;TODAY(),"待完成","逾期未完成")</f>
        <v>待完成</v>
      </c>
      <c r="AA58" s="73" t="str">
        <f t="array" ref="AA58" ca="1">_xlfn.SWITCH(TRUE,ISNUMBER(S58)*S58&gt;L58,"逾期完成",ISNUMBER(S58),"按期完成",L58&gt;TODAY(),"待完成","逾期未完成")</f>
        <v>待完成</v>
      </c>
      <c r="AB58" s="73" t="str">
        <f t="array" ref="AB58" ca="1">_xlfn.SWITCH(TRUE,ISNUMBER(T58)*T58&gt;M58,"逾期完成",ISNUMBER(T58),"按期完成",M58&gt;TODAY(),"待完成","逾期未完成")</f>
        <v>待完成</v>
      </c>
      <c r="AC58" s="73" t="str">
        <f t="array" ref="AC58" ca="1">_xlfn.SWITCH(TRUE,ISNUMBER(U58)*U58&gt;N58,"逾期完成",ISNUMBER(U58),"按期完成",N58&gt;TODAY(),"待完成","逾期未完成")</f>
        <v>待完成</v>
      </c>
      <c r="AD58" s="73" t="str">
        <f t="array" ref="AD58" ca="1">_xlfn.SWITCH(TRUE,ISNUMBER(V58)*V58&gt;O58,"逾期完成",ISNUMBER(V58),"按期完成",O58&gt;TODAY(),"待完成","逾期未完成")</f>
        <v>待完成</v>
      </c>
      <c r="AE58" s="73" t="str">
        <f t="shared" si="2"/>
        <v>未获证</v>
      </c>
      <c r="AF58" s="73" t="str">
        <f t="array" ref="AF58" ca="1">_xlfn.SWITCH(TRUE,ISNUMBER(W58)*W58&gt;P58,"逾期完成",ISNUMBER(W58),"按期完成",P58&gt;TODAY(),"待完成","逾期未完成")</f>
        <v>待完成</v>
      </c>
      <c r="AG58" s="73" t="s">
        <v>68</v>
      </c>
      <c r="AH58" s="74"/>
      <c r="AI58" s="75"/>
      <c r="AJ58" s="76" t="s">
        <v>69</v>
      </c>
      <c r="AK58" s="76" t="s">
        <v>89</v>
      </c>
      <c r="AL58" s="77" t="s">
        <v>60</v>
      </c>
      <c r="AM58" s="78" t="str">
        <f t="shared" ca="1" si="3"/>
        <v>送检,按期</v>
      </c>
      <c r="AN58" s="78" t="str">
        <f t="shared" ca="1" si="4"/>
        <v>中试开始（还有380天）</v>
      </c>
      <c r="AO58" s="66"/>
      <c r="AP58" s="66"/>
    </row>
    <row r="59" spans="1:42" ht="16.5">
      <c r="A59" s="61">
        <v>32</v>
      </c>
      <c r="B59" s="61" t="s">
        <v>55</v>
      </c>
      <c r="C59" s="61"/>
      <c r="D59" s="62"/>
      <c r="E59" s="61" t="s">
        <v>202</v>
      </c>
      <c r="F59" s="63" t="s">
        <v>203</v>
      </c>
      <c r="G59" s="64">
        <v>1</v>
      </c>
      <c r="H59" s="65" t="s">
        <v>45</v>
      </c>
      <c r="I59" s="61" t="s">
        <v>45</v>
      </c>
      <c r="J59" s="145">
        <v>46111</v>
      </c>
      <c r="K59" s="67">
        <v>46741</v>
      </c>
      <c r="L59" s="67">
        <v>46558</v>
      </c>
      <c r="M59" s="66">
        <f t="shared" si="7"/>
        <v>46603</v>
      </c>
      <c r="N59" s="68">
        <f t="shared" si="8"/>
        <v>46691</v>
      </c>
      <c r="O59" s="68">
        <f t="shared" si="9"/>
        <v>46741</v>
      </c>
      <c r="P59" s="69">
        <v>46741</v>
      </c>
      <c r="Q59" s="70">
        <v>46111</v>
      </c>
      <c r="R59" s="66"/>
      <c r="S59" s="66"/>
      <c r="T59" s="66"/>
      <c r="U59" s="66"/>
      <c r="V59" s="66"/>
      <c r="W59" s="71"/>
      <c r="X59" s="66"/>
      <c r="Y59" s="72" t="str">
        <f t="array" ref="Y59" ca="1">_xlfn.SWITCH(TRUE,ISNUMBER(Q59)*Q59&gt;J59,"逾期完成",ISNUMBER(Q59),"按期完成",J59&gt;TODAY(),"待完成","逾期未完成")</f>
        <v>按期完成</v>
      </c>
      <c r="Z59" s="72" t="str">
        <f t="array" ref="Z59" ca="1">_xlfn.SWITCH(TRUE,ISNUMBER(R59)*R59&gt;K59,"逾期完成",ISNUMBER(R59),"按期完成",K59&gt;TODAY(),"待完成","逾期未完成")</f>
        <v>待完成</v>
      </c>
      <c r="AA59" s="73" t="str">
        <f t="array" ref="AA59" ca="1">_xlfn.SWITCH(TRUE,ISNUMBER(S59)*S59&gt;L59,"逾期完成",ISNUMBER(S59),"按期完成",L59&gt;TODAY(),"待完成","逾期未完成")</f>
        <v>待完成</v>
      </c>
      <c r="AB59" s="73" t="str">
        <f t="array" ref="AB59" ca="1">_xlfn.SWITCH(TRUE,ISNUMBER(T59)*T59&gt;M59,"逾期完成",ISNUMBER(T59),"按期完成",M59&gt;TODAY(),"待完成","逾期未完成")</f>
        <v>待完成</v>
      </c>
      <c r="AC59" s="73" t="str">
        <f t="array" ref="AC59" ca="1">_xlfn.SWITCH(TRUE,ISNUMBER(U59)*U59&gt;N59,"逾期完成",ISNUMBER(U59),"按期完成",N59&gt;TODAY(),"待完成","逾期未完成")</f>
        <v>待完成</v>
      </c>
      <c r="AD59" s="73" t="str">
        <f t="array" ref="AD59" ca="1">_xlfn.SWITCH(TRUE,ISNUMBER(V59)*V59&gt;O59,"逾期完成",ISNUMBER(V59),"按期完成",O59&gt;TODAY(),"待完成","逾期未完成")</f>
        <v>待完成</v>
      </c>
      <c r="AE59" s="73" t="str">
        <f t="shared" si="2"/>
        <v>未获证</v>
      </c>
      <c r="AF59" s="73" t="str">
        <f t="array" ref="AF59" ca="1">_xlfn.SWITCH(TRUE,ISNUMBER(W59)*W59&gt;P59,"逾期完成",ISNUMBER(W59),"按期完成",P59&gt;TODAY(),"待完成","逾期未完成")</f>
        <v>待完成</v>
      </c>
      <c r="AG59" s="73" t="s">
        <v>68</v>
      </c>
      <c r="AH59" s="74"/>
      <c r="AI59" s="75"/>
      <c r="AJ59" s="76" t="s">
        <v>69</v>
      </c>
      <c r="AK59" s="76" t="s">
        <v>204</v>
      </c>
      <c r="AL59" s="77" t="s">
        <v>60</v>
      </c>
      <c r="AM59" s="78" t="str">
        <f t="shared" ca="1" si="3"/>
        <v>送检,按期</v>
      </c>
      <c r="AN59" s="78" t="str">
        <f t="shared" ca="1" si="4"/>
        <v>中试开始（还有380天）</v>
      </c>
      <c r="AO59" s="79"/>
      <c r="AP59" s="79"/>
    </row>
    <row r="60" spans="1:42" ht="16.5">
      <c r="A60" s="61">
        <v>56</v>
      </c>
      <c r="B60" s="139" t="s">
        <v>61</v>
      </c>
      <c r="C60" s="63"/>
      <c r="D60" s="108"/>
      <c r="E60" s="66" t="s">
        <v>205</v>
      </c>
      <c r="F60" s="139" t="s">
        <v>206</v>
      </c>
      <c r="G60" s="64">
        <v>13</v>
      </c>
      <c r="H60" s="66" t="s">
        <v>45</v>
      </c>
      <c r="I60" s="66" t="s">
        <v>45</v>
      </c>
      <c r="J60" s="66">
        <v>46112</v>
      </c>
      <c r="K60" s="146">
        <v>46203</v>
      </c>
      <c r="L60" s="146">
        <v>46203</v>
      </c>
      <c r="M60" s="146">
        <v>46213</v>
      </c>
      <c r="N60" s="146">
        <v>46213</v>
      </c>
      <c r="O60" s="147">
        <f t="shared" si="9"/>
        <v>46233</v>
      </c>
      <c r="P60" s="148">
        <v>46233</v>
      </c>
      <c r="Q60" s="70">
        <v>46111</v>
      </c>
      <c r="R60" s="139"/>
      <c r="S60" s="139"/>
      <c r="T60" s="139"/>
      <c r="U60" s="139"/>
      <c r="V60" s="139"/>
      <c r="W60" s="139"/>
      <c r="X60" s="139"/>
      <c r="Y60" s="72" t="str">
        <f t="array" ref="Y60" ca="1">_xlfn.SWITCH(TRUE,ISNUMBER(Q60)*Q60&gt;J60,"逾期完成",ISNUMBER(Q60),"按期完成",J60&gt;TODAY(),"待完成","逾期未完成")</f>
        <v>按期完成</v>
      </c>
      <c r="Z60" s="72" t="str">
        <f t="array" ref="Z60" ca="1">_xlfn.SWITCH(TRUE,ISNUMBER(R60)*R60&gt;K60,"逾期完成",ISNUMBER(R60),"按期完成",K60&gt;TODAY(),"待完成","逾期未完成")</f>
        <v>待完成</v>
      </c>
      <c r="AA60" s="73" t="str">
        <f t="array" ref="AA60" ca="1">_xlfn.SWITCH(TRUE,ISNUMBER(S60)*S60&gt;L60,"逾期完成",ISNUMBER(S60),"按期完成",L60&gt;TODAY(),"待完成","逾期未完成")</f>
        <v>待完成</v>
      </c>
      <c r="AB60" s="73" t="str">
        <f t="array" ref="AB60" ca="1">_xlfn.SWITCH(TRUE,ISNUMBER(T60)*T60&gt;M60,"逾期完成",ISNUMBER(T60),"按期完成",M60&gt;TODAY(),"待完成","逾期未完成")</f>
        <v>待完成</v>
      </c>
      <c r="AC60" s="73" t="str">
        <f t="array" ref="AC60" ca="1">_xlfn.SWITCH(TRUE,ISNUMBER(U60)*U60&gt;N60,"逾期完成",ISNUMBER(U60),"按期完成",N60&gt;TODAY(),"待完成","逾期未完成")</f>
        <v>待完成</v>
      </c>
      <c r="AD60" s="73" t="str">
        <f t="array" ref="AD60" ca="1">_xlfn.SWITCH(TRUE,ISNUMBER(V60)*V60&gt;O60,"逾期完成",ISNUMBER(V60),"按期完成",O60&gt;TODAY(),"待完成","逾期未完成")</f>
        <v>待完成</v>
      </c>
      <c r="AE60" s="73" t="str">
        <f t="shared" si="2"/>
        <v>未获证</v>
      </c>
      <c r="AF60" s="73" t="str">
        <f t="array" ref="AF60" ca="1">_xlfn.SWITCH(TRUE,ISNUMBER(W60)*W60&gt;P60,"逾期完成",ISNUMBER(W60),"按期完成",P60&gt;TODAY(),"待完成","逾期未完成")</f>
        <v>待完成</v>
      </c>
      <c r="AG60" s="73" t="s">
        <v>68</v>
      </c>
      <c r="AH60" s="74"/>
      <c r="AI60" s="113"/>
      <c r="AJ60" s="76" t="s">
        <v>47</v>
      </c>
      <c r="AK60" s="140" t="s">
        <v>64</v>
      </c>
      <c r="AL60" s="77" t="s">
        <v>49</v>
      </c>
      <c r="AM60" s="78" t="str">
        <f t="shared" ca="1" si="3"/>
        <v>送检,按期</v>
      </c>
      <c r="AN60" s="78" t="str">
        <f t="shared" ca="1" si="4"/>
        <v>中试开始（还有25天）</v>
      </c>
      <c r="AO60" s="79">
        <v>46204</v>
      </c>
      <c r="AP60" s="79">
        <v>46569</v>
      </c>
    </row>
    <row r="61" spans="1:42" ht="56">
      <c r="A61" s="61">
        <v>68</v>
      </c>
      <c r="B61" s="61" t="s">
        <v>55</v>
      </c>
      <c r="C61" s="66" t="s">
        <v>207</v>
      </c>
      <c r="D61" s="63"/>
      <c r="E61" s="61" t="s">
        <v>208</v>
      </c>
      <c r="F61" s="139" t="s">
        <v>209</v>
      </c>
      <c r="G61" s="64">
        <v>4</v>
      </c>
      <c r="H61" s="66" t="s">
        <v>210</v>
      </c>
      <c r="I61" s="66" t="s">
        <v>211</v>
      </c>
      <c r="J61" s="67">
        <v>46142</v>
      </c>
      <c r="K61" s="67">
        <v>46203</v>
      </c>
      <c r="L61" s="67">
        <v>46172</v>
      </c>
      <c r="M61" s="67">
        <v>46203</v>
      </c>
      <c r="N61" s="67">
        <v>46203</v>
      </c>
      <c r="O61" s="67">
        <f t="shared" si="9"/>
        <v>46233</v>
      </c>
      <c r="P61" s="149">
        <v>46233</v>
      </c>
      <c r="Q61" s="70">
        <v>46142</v>
      </c>
      <c r="R61" s="61"/>
      <c r="S61" s="66">
        <v>46111</v>
      </c>
      <c r="T61" s="61"/>
      <c r="U61" s="61"/>
      <c r="V61" s="61"/>
      <c r="W61" s="61"/>
      <c r="X61" s="61"/>
      <c r="Y61" s="72" t="str">
        <f t="array" ref="Y61" ca="1">_xlfn.SWITCH(TRUE,ISNUMBER(Q61)*Q61&gt;J61,"逾期完成",ISNUMBER(Q61),"按期完成",J61&gt;TODAY(),"待完成","逾期未完成")</f>
        <v>按期完成</v>
      </c>
      <c r="Z61" s="72" t="str">
        <f t="array" ref="Z61" ca="1">_xlfn.SWITCH(TRUE,ISNUMBER(R61)*R61&gt;K61,"逾期完成",ISNUMBER(R61),"按期完成",K61&gt;TODAY(),"待完成","逾期未完成")</f>
        <v>待完成</v>
      </c>
      <c r="AA61" s="73" t="str">
        <f t="array" ref="AA61" ca="1">_xlfn.SWITCH(TRUE,ISNUMBER(S61)*S61&gt;L61,"逾期完成",ISNUMBER(S61),"按期完成",L61&gt;TODAY(),"待完成","逾期未完成")</f>
        <v>按期完成</v>
      </c>
      <c r="AB61" s="73" t="str">
        <f t="array" ref="AB61" ca="1">_xlfn.SWITCH(TRUE,ISNUMBER(T61)*T61&gt;M61,"逾期完成",ISNUMBER(T61),"按期完成",M61&gt;TODAY(),"待完成","逾期未完成")</f>
        <v>待完成</v>
      </c>
      <c r="AC61" s="73" t="str">
        <f t="array" ref="AC61" ca="1">_xlfn.SWITCH(TRUE,ISNUMBER(U61)*U61&gt;N61,"逾期完成",ISNUMBER(U61),"按期完成",N61&gt;TODAY(),"待完成","逾期未完成")</f>
        <v>待完成</v>
      </c>
      <c r="AD61" s="73" t="str">
        <f t="array" ref="AD61" ca="1">_xlfn.SWITCH(TRUE,ISNUMBER(V61)*V61&gt;O61,"逾期完成",ISNUMBER(V61),"按期完成",O61&gt;TODAY(),"待完成","逾期未完成")</f>
        <v>待完成</v>
      </c>
      <c r="AE61" s="73" t="str">
        <f t="shared" si="2"/>
        <v>未获证</v>
      </c>
      <c r="AF61" s="73" t="str">
        <f t="array" ref="AF61" ca="1">_xlfn.SWITCH(TRUE,ISNUMBER(W61)*W61&gt;P61,"逾期完成",ISNUMBER(W61),"按期完成",P61&gt;TODAY(),"待完成","逾期未完成")</f>
        <v>待完成</v>
      </c>
      <c r="AG61" s="73" t="s">
        <v>68</v>
      </c>
      <c r="AH61" s="127"/>
      <c r="AI61" s="75"/>
      <c r="AJ61" s="76" t="s">
        <v>47</v>
      </c>
      <c r="AK61" s="128" t="s">
        <v>212</v>
      </c>
      <c r="AL61" s="77" t="s">
        <v>60</v>
      </c>
      <c r="AM61" s="78" t="str">
        <f t="shared" ca="1" si="3"/>
        <v>送检,按期</v>
      </c>
      <c r="AN61" s="78" t="str">
        <f t="shared" ca="1" si="4"/>
        <v>中试结束（还有25天）</v>
      </c>
      <c r="AO61" s="79"/>
      <c r="AP61" s="79"/>
    </row>
    <row r="62" spans="1:42" ht="21.5" customHeight="1">
      <c r="A62" s="61">
        <v>74</v>
      </c>
      <c r="B62" s="65" t="s">
        <v>55</v>
      </c>
      <c r="C62" s="65">
        <v>10200455</v>
      </c>
      <c r="D62" s="113"/>
      <c r="E62" s="65" t="s">
        <v>213</v>
      </c>
      <c r="F62" s="65" t="s">
        <v>214</v>
      </c>
      <c r="G62" s="150">
        <v>1</v>
      </c>
      <c r="H62" s="65" t="s">
        <v>45</v>
      </c>
      <c r="I62" s="65" t="s">
        <v>45</v>
      </c>
      <c r="J62" s="67">
        <v>46142</v>
      </c>
      <c r="K62" s="67">
        <v>46203</v>
      </c>
      <c r="L62" s="66">
        <f>MAX(J62,Q62)+30</f>
        <v>46172</v>
      </c>
      <c r="M62" s="66">
        <f>IF((L62+IF(AJ46="高",45,30))&gt;P62,P62-30,L62+IF(AJ46="高",45,30))</f>
        <v>46183</v>
      </c>
      <c r="N62" s="66">
        <f>M62</f>
        <v>46183</v>
      </c>
      <c r="O62" s="66">
        <f t="shared" si="9"/>
        <v>46213</v>
      </c>
      <c r="P62" s="151">
        <v>46213</v>
      </c>
      <c r="Q62" s="104">
        <v>46132</v>
      </c>
      <c r="R62" s="113"/>
      <c r="S62" s="113"/>
      <c r="T62" s="113"/>
      <c r="U62" s="113"/>
      <c r="V62" s="113"/>
      <c r="W62" s="113"/>
      <c r="X62" s="113"/>
      <c r="Y62" s="72" t="str">
        <f t="array" ref="Y62" ca="1">_xlfn.SWITCH(TRUE,ISNUMBER(Q62)*Q62&gt;J62,"逾期完成",ISNUMBER(Q62),"按期完成",J62&gt;TODAY(),"待完成","逾期未完成")</f>
        <v>按期完成</v>
      </c>
      <c r="Z62" s="72" t="str">
        <f t="array" ref="Z62" ca="1">_xlfn.SWITCH(TRUE,ISNUMBER(R62)*R62&gt;K62,"逾期完成",ISNUMBER(R62),"按期完成",K62&gt;TODAY(),"待完成","逾期未完成")</f>
        <v>待完成</v>
      </c>
      <c r="AA62" s="73" t="str">
        <f t="array" ref="AA62" ca="1">_xlfn.SWITCH(TRUE,ISNUMBER(S62)*S62&gt;L62,"逾期完成",ISNUMBER(S62),"按期完成",L62&gt;TODAY(),"待完成","逾期未完成")</f>
        <v>逾期未完成</v>
      </c>
      <c r="AB62" s="73" t="str">
        <f t="array" ref="AB62" ca="1">_xlfn.SWITCH(TRUE,ISNUMBER(T62)*T62&gt;M62,"逾期完成",ISNUMBER(T62),"按期完成",M62&gt;TODAY(),"待完成","逾期未完成")</f>
        <v>待完成</v>
      </c>
      <c r="AC62" s="73" t="str">
        <f t="array" ref="AC62" ca="1">_xlfn.SWITCH(TRUE,ISNUMBER(U62)*U62&gt;N62,"逾期完成",ISNUMBER(U62),"按期完成",N62&gt;TODAY(),"待完成","逾期未完成")</f>
        <v>待完成</v>
      </c>
      <c r="AD62" s="73" t="str">
        <f t="array" ref="AD62" ca="1">_xlfn.SWITCH(TRUE,ISNUMBER(V62)*V62&gt;O62,"逾期完成",ISNUMBER(V62),"按期完成",O62&gt;TODAY(),"待完成","逾期未完成")</f>
        <v>待完成</v>
      </c>
      <c r="AE62" s="73" t="str">
        <f t="shared" si="2"/>
        <v>未获证</v>
      </c>
      <c r="AF62" s="73" t="str">
        <f t="array" ref="AF62" ca="1">_xlfn.SWITCH(TRUE,ISNUMBER(W62)*W62&gt;P62,"逾期完成",ISNUMBER(W62),"按期完成",P62&gt;TODAY(),"待完成","逾期未完成")</f>
        <v>待完成</v>
      </c>
      <c r="AG62" s="73" t="s">
        <v>68</v>
      </c>
      <c r="AH62" s="152"/>
      <c r="AI62" s="113"/>
      <c r="AJ62" s="153" t="s">
        <v>47</v>
      </c>
      <c r="AK62" s="128" t="s">
        <v>215</v>
      </c>
      <c r="AL62" s="152" t="s">
        <v>60</v>
      </c>
      <c r="AM62" s="78" t="str">
        <f t="shared" ca="1" si="3"/>
        <v>送检,按期</v>
      </c>
      <c r="AN62" s="78" t="str">
        <f t="shared" ca="1" si="4"/>
        <v>中试开始（已超期6天）</v>
      </c>
      <c r="AO62" s="96">
        <v>46600</v>
      </c>
      <c r="AP62" s="96">
        <v>46966</v>
      </c>
    </row>
    <row r="63" spans="1:42" ht="27" customHeight="1">
      <c r="A63" s="61">
        <v>76</v>
      </c>
      <c r="B63" s="154" t="s">
        <v>55</v>
      </c>
      <c r="C63" s="155"/>
      <c r="D63" s="156"/>
      <c r="E63" s="157" t="s">
        <v>216</v>
      </c>
      <c r="F63" s="158" t="s">
        <v>217</v>
      </c>
      <c r="G63" s="159">
        <v>1</v>
      </c>
      <c r="H63" s="160"/>
      <c r="I63" s="161" t="s">
        <v>218</v>
      </c>
      <c r="J63" s="67">
        <v>46142</v>
      </c>
      <c r="K63" s="66">
        <f>(MAX(J63,Q63)+75)</f>
        <v>46217</v>
      </c>
      <c r="L63" s="66">
        <f>MAX(J63,Q63)+50</f>
        <v>46192</v>
      </c>
      <c r="M63" s="66">
        <f>IF((L63+IF(AJ47="高",45,30))&gt;P63,P63-30,L63+IF(AJ47="高",45,30))</f>
        <v>46222</v>
      </c>
      <c r="N63" s="66">
        <f>M63</f>
        <v>46222</v>
      </c>
      <c r="O63" s="66">
        <f t="shared" si="9"/>
        <v>46275</v>
      </c>
      <c r="P63" s="151">
        <v>46275</v>
      </c>
      <c r="Q63" s="70">
        <v>46141</v>
      </c>
      <c r="R63" s="155"/>
      <c r="S63" s="155"/>
      <c r="T63" s="162"/>
      <c r="U63" s="155"/>
      <c r="V63" s="155"/>
      <c r="W63" s="155"/>
      <c r="X63" s="163"/>
      <c r="Y63" s="72" t="str">
        <f t="array" ref="Y63" ca="1">_xlfn.SWITCH(TRUE,ISNUMBER(Q63)*Q63&gt;J63,"逾期完成",ISNUMBER(Q63),"按期完成",J63&gt;TODAY(),"待完成","逾期未完成")</f>
        <v>按期完成</v>
      </c>
      <c r="Z63" s="72" t="str">
        <f t="array" ref="Z63" ca="1">_xlfn.SWITCH(TRUE,ISNUMBER(R63)*R63&gt;K63,"逾期完成",ISNUMBER(R63),"按期完成",K63&gt;TODAY(),"待完成","逾期未完成")</f>
        <v>待完成</v>
      </c>
      <c r="AA63" s="73" t="str">
        <f t="array" ref="AA63" ca="1">_xlfn.SWITCH(TRUE,ISNUMBER(S63)*S63&gt;L63,"逾期完成",ISNUMBER(S63),"按期完成",L63&gt;TODAY(),"待完成","逾期未完成")</f>
        <v>待完成</v>
      </c>
      <c r="AB63" s="73" t="str">
        <f t="array" ref="AB63" ca="1">_xlfn.SWITCH(TRUE,ISNUMBER(T63)*T63&gt;M63,"逾期完成",ISNUMBER(T63),"按期完成",M63&gt;TODAY(),"待完成","逾期未完成")</f>
        <v>待完成</v>
      </c>
      <c r="AC63" s="73" t="str">
        <f t="array" ref="AC63" ca="1">_xlfn.SWITCH(TRUE,ISNUMBER(U63)*U63&gt;N63,"逾期完成",ISNUMBER(U63),"按期完成",N63&gt;TODAY(),"待完成","逾期未完成")</f>
        <v>待完成</v>
      </c>
      <c r="AD63" s="73" t="str">
        <f t="array" ref="AD63" ca="1">_xlfn.SWITCH(TRUE,ISNUMBER(V63)*V63&gt;O63,"逾期完成",ISNUMBER(V63),"按期完成",O63&gt;TODAY(),"待完成","逾期未完成")</f>
        <v>待完成</v>
      </c>
      <c r="AE63" s="73" t="str">
        <f t="shared" si="2"/>
        <v>未获证</v>
      </c>
      <c r="AF63" s="73" t="str">
        <f t="array" ref="AF63" ca="1">_xlfn.SWITCH(TRUE,ISNUMBER(W63)*W63&gt;P63,"逾期完成",ISNUMBER(W63),"按期完成",P63&gt;TODAY(),"待完成","逾期未完成")</f>
        <v>待完成</v>
      </c>
      <c r="AG63" s="73" t="s">
        <v>68</v>
      </c>
      <c r="AH63" s="164"/>
      <c r="AI63" s="165"/>
      <c r="AJ63" s="153" t="s">
        <v>69</v>
      </c>
      <c r="AK63" s="128" t="s">
        <v>219</v>
      </c>
      <c r="AL63" s="152"/>
      <c r="AM63" s="78" t="str">
        <f t="shared" ca="1" si="3"/>
        <v>送检,按期</v>
      </c>
      <c r="AN63" s="78" t="str">
        <f t="shared" ca="1" si="4"/>
        <v>中试开始（还有14天）</v>
      </c>
      <c r="AO63" s="166"/>
      <c r="AP63" s="167"/>
    </row>
    <row r="64" spans="1:42" ht="37.5" customHeight="1">
      <c r="A64" s="61">
        <v>69</v>
      </c>
      <c r="B64" s="168" t="s">
        <v>42</v>
      </c>
      <c r="C64" s="169"/>
      <c r="D64" s="169"/>
      <c r="E64" s="170" t="s">
        <v>220</v>
      </c>
      <c r="F64" s="81" t="s">
        <v>221</v>
      </c>
      <c r="G64" s="171">
        <v>1</v>
      </c>
      <c r="H64" s="82">
        <v>19902046</v>
      </c>
      <c r="I64" s="82" t="s">
        <v>77</v>
      </c>
      <c r="J64" s="172">
        <v>46142</v>
      </c>
      <c r="K64" s="130">
        <v>46233</v>
      </c>
      <c r="L64" s="130">
        <v>46203</v>
      </c>
      <c r="M64" s="130">
        <v>46254</v>
      </c>
      <c r="N64" s="130">
        <v>46264</v>
      </c>
      <c r="O64" s="130">
        <v>46295</v>
      </c>
      <c r="P64" s="173">
        <v>46295</v>
      </c>
      <c r="Q64" s="174"/>
      <c r="R64" s="169"/>
      <c r="S64" s="169"/>
      <c r="T64" s="169"/>
      <c r="U64" s="169"/>
      <c r="V64" s="169"/>
      <c r="W64" s="169"/>
      <c r="X64" s="169"/>
      <c r="Y64" s="72" t="str">
        <f t="array" ref="Y64" ca="1">_xlfn.SWITCH(TRUE,ISNUMBER(Q64)*Q64&gt;J64,"逾期完成",ISNUMBER(Q64),"按期完成",J64&gt;TODAY(),"待完成","逾期未完成")</f>
        <v>逾期未完成</v>
      </c>
      <c r="Z64" s="72" t="str">
        <f t="array" ref="Z64" ca="1">_xlfn.SWITCH(TRUE,ISNUMBER(R64)*R64&gt;K64,"逾期完成",ISNUMBER(R64),"按期完成",K64&gt;TODAY(),"待完成","逾期未完成")</f>
        <v>待完成</v>
      </c>
      <c r="AA64" s="73" t="str">
        <f t="array" ref="AA64" ca="1">_xlfn.SWITCH(TRUE,ISNUMBER(S64)*S64&gt;L64,"逾期完成",ISNUMBER(S64),"按期完成",L64&gt;TODAY(),"待完成","逾期未完成")</f>
        <v>待完成</v>
      </c>
      <c r="AB64" s="73" t="str">
        <f t="array" ref="AB64" ca="1">_xlfn.SWITCH(TRUE,ISNUMBER(T64)*T64&gt;M64,"逾期完成",ISNUMBER(T64),"按期完成",M64&gt;TODAY(),"待完成","逾期未完成")</f>
        <v>待完成</v>
      </c>
      <c r="AC64" s="73" t="str">
        <f t="array" ref="AC64" ca="1">_xlfn.SWITCH(TRUE,ISNUMBER(U64)*U64&gt;N64,"逾期完成",ISNUMBER(U64),"按期完成",N64&gt;TODAY(),"待完成","逾期未完成")</f>
        <v>待完成</v>
      </c>
      <c r="AD64" s="73" t="str">
        <f t="array" ref="AD64" ca="1">_xlfn.SWITCH(TRUE,ISNUMBER(V64)*V64&gt;O64,"逾期完成",ISNUMBER(V64),"按期完成",O64&gt;TODAY(),"待完成","逾期未完成")</f>
        <v>待完成</v>
      </c>
      <c r="AE64" s="73" t="str">
        <f t="shared" si="2"/>
        <v>未获证</v>
      </c>
      <c r="AF64" s="73" t="str">
        <f t="array" ref="AF64" ca="1">_xlfn.SWITCH(TRUE,ISNUMBER(W64)*W64&gt;P64,"逾期完成",ISNUMBER(W64),"按期完成",P64&gt;TODAY(),"待完成","逾期未完成")</f>
        <v>待完成</v>
      </c>
      <c r="AG64" s="73" t="s">
        <v>68</v>
      </c>
      <c r="AH64" s="175"/>
      <c r="AI64" s="97" t="s">
        <v>222</v>
      </c>
      <c r="AJ64" s="140" t="s">
        <v>69</v>
      </c>
      <c r="AK64" s="128" t="s">
        <v>223</v>
      </c>
      <c r="AL64" s="77" t="s">
        <v>60</v>
      </c>
      <c r="AM64" s="78" t="str">
        <f t="shared" ca="1" si="3"/>
        <v>送检,逾期</v>
      </c>
      <c r="AN64" s="78" t="str">
        <f t="shared" ca="1" si="4"/>
        <v>送检开始（已超期36天）</v>
      </c>
      <c r="AO64" s="79">
        <v>46327</v>
      </c>
      <c r="AP64" s="79">
        <v>46692</v>
      </c>
    </row>
    <row r="65" spans="1:44" ht="28">
      <c r="A65" s="61">
        <v>70</v>
      </c>
      <c r="B65" s="176" t="s">
        <v>42</v>
      </c>
      <c r="C65" s="75"/>
      <c r="E65" s="139" t="s">
        <v>224</v>
      </c>
      <c r="F65" s="63" t="s">
        <v>225</v>
      </c>
      <c r="G65" s="177">
        <v>1</v>
      </c>
      <c r="H65" s="65">
        <v>19902044</v>
      </c>
      <c r="I65" s="65" t="s">
        <v>121</v>
      </c>
      <c r="J65" s="172">
        <v>46142</v>
      </c>
      <c r="K65" s="67">
        <v>46233</v>
      </c>
      <c r="L65" s="67">
        <v>46203</v>
      </c>
      <c r="M65" s="67">
        <v>46254</v>
      </c>
      <c r="N65" s="67">
        <v>46264</v>
      </c>
      <c r="O65" s="67">
        <v>46295</v>
      </c>
      <c r="P65" s="67">
        <v>46295</v>
      </c>
      <c r="Q65" s="178"/>
      <c r="R65" s="75"/>
      <c r="S65" s="75"/>
      <c r="T65" s="75"/>
      <c r="U65" s="75"/>
      <c r="V65" s="75"/>
      <c r="W65" s="75"/>
      <c r="X65" s="75"/>
      <c r="Y65" s="72" t="str">
        <f t="array" ref="Y65" ca="1">_xlfn.SWITCH(TRUE,ISNUMBER(Q65)*Q65&gt;J65,"逾期完成",ISNUMBER(Q65),"按期完成",J65&gt;TODAY(),"待完成","逾期未完成")</f>
        <v>逾期未完成</v>
      </c>
      <c r="Z65" s="72" t="str">
        <f t="array" ref="Z65" ca="1">_xlfn.SWITCH(TRUE,ISNUMBER(R65)*R65&gt;K65,"逾期完成",ISNUMBER(R65),"按期完成",K65&gt;TODAY(),"待完成","逾期未完成")</f>
        <v>待完成</v>
      </c>
      <c r="AA65" s="73" t="str">
        <f t="array" ref="AA65" ca="1">_xlfn.SWITCH(TRUE,ISNUMBER(S65)*S65&gt;L65,"逾期完成",ISNUMBER(S65),"按期完成",L65&gt;TODAY(),"待完成","逾期未完成")</f>
        <v>待完成</v>
      </c>
      <c r="AB65" s="73" t="str">
        <f t="array" ref="AB65" ca="1">_xlfn.SWITCH(TRUE,ISNUMBER(T65)*T65&gt;M65,"逾期完成",ISNUMBER(T65),"按期完成",M65&gt;TODAY(),"待完成","逾期未完成")</f>
        <v>待完成</v>
      </c>
      <c r="AC65" s="73" t="str">
        <f t="array" ref="AC65" ca="1">_xlfn.SWITCH(TRUE,ISNUMBER(U65)*U65&gt;N65,"逾期完成",ISNUMBER(U65),"按期完成",N65&gt;TODAY(),"待完成","逾期未完成")</f>
        <v>待完成</v>
      </c>
      <c r="AD65" s="73" t="str">
        <f t="array" ref="AD65" ca="1">_xlfn.SWITCH(TRUE,ISNUMBER(V65)*V65&gt;O65,"逾期完成",ISNUMBER(V65),"按期完成",O65&gt;TODAY(),"待完成","逾期未完成")</f>
        <v>待完成</v>
      </c>
      <c r="AE65" s="73" t="str">
        <f t="shared" si="2"/>
        <v>未获证</v>
      </c>
      <c r="AF65" s="73" t="str">
        <f t="array" ref="AF65" ca="1">_xlfn.SWITCH(TRUE,ISNUMBER(W65)*W65&gt;P65,"逾期完成",ISNUMBER(W65),"按期完成",P65&gt;TODAY(),"待完成","逾期未完成")</f>
        <v>待完成</v>
      </c>
      <c r="AG65" s="73" t="s">
        <v>68</v>
      </c>
      <c r="AH65" s="77"/>
      <c r="AI65" s="97" t="s">
        <v>222</v>
      </c>
      <c r="AJ65" s="140" t="s">
        <v>69</v>
      </c>
      <c r="AK65" s="128" t="s">
        <v>223</v>
      </c>
      <c r="AL65" s="77" t="s">
        <v>60</v>
      </c>
      <c r="AM65" s="78" t="str">
        <f t="shared" ca="1" si="3"/>
        <v>送检,逾期</v>
      </c>
      <c r="AN65" s="78" t="str">
        <f t="shared" ca="1" si="4"/>
        <v>送检开始（已超期36天）</v>
      </c>
      <c r="AO65" s="79">
        <v>46327</v>
      </c>
      <c r="AP65" s="79">
        <v>46692</v>
      </c>
      <c r="AQ65" s="42"/>
      <c r="AR65" s="42"/>
    </row>
    <row r="66" spans="1:44" ht="28">
      <c r="A66" s="61">
        <v>71</v>
      </c>
      <c r="B66" s="168" t="s">
        <v>42</v>
      </c>
      <c r="C66" s="169"/>
      <c r="D66" s="169"/>
      <c r="E66" s="170" t="s">
        <v>226</v>
      </c>
      <c r="F66" s="81" t="s">
        <v>227</v>
      </c>
      <c r="G66" s="171">
        <v>1</v>
      </c>
      <c r="H66" s="82">
        <v>19902045</v>
      </c>
      <c r="I66" s="82" t="s">
        <v>228</v>
      </c>
      <c r="J66" s="172">
        <v>46142</v>
      </c>
      <c r="K66" s="130">
        <v>46233</v>
      </c>
      <c r="L66" s="130">
        <v>46203</v>
      </c>
      <c r="M66" s="130">
        <v>46254</v>
      </c>
      <c r="N66" s="130">
        <v>46264</v>
      </c>
      <c r="O66" s="130">
        <v>46295</v>
      </c>
      <c r="P66" s="173">
        <v>46295</v>
      </c>
      <c r="Q66" s="174"/>
      <c r="R66" s="169"/>
      <c r="S66" s="169"/>
      <c r="T66" s="169"/>
      <c r="U66" s="169"/>
      <c r="V66" s="169"/>
      <c r="W66" s="169"/>
      <c r="X66" s="169"/>
      <c r="Y66" s="72" t="str">
        <f t="array" ref="Y66" ca="1">_xlfn.SWITCH(TRUE,ISNUMBER(Q66)*Q66&gt;J66,"逾期完成",ISNUMBER(Q66),"按期完成",J66&gt;TODAY(),"待完成","逾期未完成")</f>
        <v>逾期未完成</v>
      </c>
      <c r="Z66" s="72" t="str">
        <f t="array" ref="Z66" ca="1">_xlfn.SWITCH(TRUE,ISNUMBER(R66)*R66&gt;K66,"逾期完成",ISNUMBER(R66),"按期完成",K66&gt;TODAY(),"待完成","逾期未完成")</f>
        <v>待完成</v>
      </c>
      <c r="AA66" s="73" t="str">
        <f t="array" ref="AA66" ca="1">_xlfn.SWITCH(TRUE,ISNUMBER(S66)*S66&gt;L66,"逾期完成",ISNUMBER(S66),"按期完成",L66&gt;TODAY(),"待完成","逾期未完成")</f>
        <v>待完成</v>
      </c>
      <c r="AB66" s="73" t="str">
        <f t="array" ref="AB66" ca="1">_xlfn.SWITCH(TRUE,ISNUMBER(T66)*T66&gt;M66,"逾期完成",ISNUMBER(T66),"按期完成",M66&gt;TODAY(),"待完成","逾期未完成")</f>
        <v>待完成</v>
      </c>
      <c r="AC66" s="73" t="str">
        <f t="array" ref="AC66" ca="1">_xlfn.SWITCH(TRUE,ISNUMBER(U66)*U66&gt;N66,"逾期完成",ISNUMBER(U66),"按期完成",N66&gt;TODAY(),"待完成","逾期未完成")</f>
        <v>待完成</v>
      </c>
      <c r="AD66" s="73" t="str">
        <f t="array" ref="AD66" ca="1">_xlfn.SWITCH(TRUE,ISNUMBER(V66)*V66&gt;O66,"逾期完成",ISNUMBER(V66),"按期完成",O66&gt;TODAY(),"待完成","逾期未完成")</f>
        <v>待完成</v>
      </c>
      <c r="AE66" s="73" t="str">
        <f t="shared" ref="AE66:AE92" si="10">IF(ISNUMBER(X66),"已获证","未获证")</f>
        <v>未获证</v>
      </c>
      <c r="AF66" s="73" t="str">
        <f t="array" ref="AF66" ca="1">_xlfn.SWITCH(TRUE,ISNUMBER(W66)*W66&gt;P66,"逾期完成",ISNUMBER(W66),"按期完成",P66&gt;TODAY(),"待完成","逾期未完成")</f>
        <v>待完成</v>
      </c>
      <c r="AG66" s="73" t="s">
        <v>68</v>
      </c>
      <c r="AH66" s="77"/>
      <c r="AI66" s="97" t="s">
        <v>222</v>
      </c>
      <c r="AJ66" s="140" t="s">
        <v>69</v>
      </c>
      <c r="AK66" s="128" t="s">
        <v>223</v>
      </c>
      <c r="AL66" s="77" t="s">
        <v>60</v>
      </c>
      <c r="AM66" s="78" t="str">
        <f t="shared" ref="AM66:AM92" ca="1" si="11">IF(AND(OR(AB66="按期完成",AB66="逾期完成"),OR(AC66&lt;&gt;"待完成",AD66&lt;&gt;"待完成")),"批产,"&amp;IF(OR(AC66="逾期完成",AC66="逾期未完成",AD66="逾期完成",AD66="逾期未完成"),"逾期","按期"),IF(AND(OR(Z66="按期完成",Z66="逾期完成"),OR(AA66&lt;&gt;"待完成",AB66&lt;&gt;"待完成")),"中试,"&amp;IF(OR(AA66="逾期完成",AA66="逾期未完成",AB66="逾期完成",AB66="逾期未完成"),"逾期","按期"),IF(OR(Y66&lt;&gt;"待完成",Z66&lt;&gt;"待完成"),"送检,"&amp;IF(OR(Y66="逾期完成",Y66="逾期未完成",Z66="逾期完成",Z66="逾期未完成"),"逾期","按期"),"未启动,未开始")))</f>
        <v>送检,逾期</v>
      </c>
      <c r="AN66" s="78" t="str">
        <f ca="1">IF(OR(NOT(ISNUMBER(J66)),NOT(ISNUMBER(L66)),NOT(ISNUMBER(M66)),NOT(ISNUMBER(N66)),NOT(ISNUMBER(O66)),NOT(ISNUMBER(P66))),"暂无计划",IF(ISBLANK(Q66),IF(AND(J66-TODAY()&gt;=0,J66-TODAY()&lt;=10),"⚠️ 送检开始（还有"&amp;ROUNDUP(J66-TODAY(),0)&amp;"天，重点关注）",IF(J66&gt;=TODAY(),"送检开始（还有"&amp;ROUNDUP(J66-TODAY(),0)&amp;"天）","送检开始（已超期"&amp;ROUNDUP(TODAY()-J66,0)&amp;"天）")),IF(ISBLANK(S66),IF(AND(L66-TODAY()&gt;=0,L66-TODAY()&lt;=10),"⚠️ 中试开始（还有"&amp;ROUNDUP(L66-TODAY(),0)&amp;"天，重点关注）",IF(L66&gt;=TODAY(),"中试开始（还有"&amp;ROUNDUP(L66-TODAY(),0)&amp;"天）","中试开始（已超期"&amp;ROUNDUP(TODAY()-L66,0)&amp;"天）")),IF(ISBLANK(T66),IF(AND(M66-TODAY()&gt;=0,M66-TODAY()&lt;=10),"⚠️ 中试结束（还有"&amp;ROUNDUP(M66-TODAY(),0)&amp;"天，重点关注）",IF(M66&gt;=TODAY(),"中试结束（还有"&amp;ROUNDUP(M66-TODAY(),0)&amp;"天）","中试结束（已超期"&amp;ROUNDUP(TODAY()-M66,0)&amp;"天）")),IF(ISBLANK(U66),IF(AND(N66-TODAY()&gt;=0,N66-TODAY()&lt;=10),"⚠️ 批产开始（还有"&amp;ROUNDUP(N66-TODAY(),0)&amp;"天，重点关注）",IF(N66&gt;=TODAY(),"批产开始（还有"&amp;ROUNDUP(N66-TODAY(),0)&amp;"天）","批产开始（已超期"&amp;ROUNDUP(TODAY()-N66,0)&amp;"天）")),IF(ISBLANK(V66),IF(AND(O66-TODAY()&gt;=0,O66-TODAY()&lt;=10),"⚠️ 批产结束（还有"&amp;ROUNDUP(O66-TODAY(),0)&amp;"天，重点关注）",IF(O66&gt;=TODAY(),"批产结束（还有"&amp;ROUNDUP(O66-TODAY(),0)&amp;"天）","批产结束（已超期"&amp;ROUNDUP(TODAY()-O66,0)&amp;"天）")),IF(ISBLANK(W66),IF(AND(P66-TODAY()&gt;=0,P66-TODAY()&lt;=10),"⚠️ 上市（还有"&amp;ROUNDUP(P66-TODAY(),0)&amp;"天，重点关注）",IF(P66&gt;=TODAY(),"上市（还有"&amp;ROUNDUP(P66-TODAY(),0)&amp;"天）","上市（已超期"&amp;ROUNDUP(TODAY()-P66,0)&amp;"天）")),"已完成所有阶段")))))))</f>
        <v>送检开始（已超期36天）</v>
      </c>
      <c r="AO66" s="79">
        <v>46327</v>
      </c>
      <c r="AP66" s="79">
        <v>46692</v>
      </c>
      <c r="AQ66" s="43"/>
      <c r="AR66" s="43"/>
    </row>
    <row r="67" spans="1:44" ht="17.5">
      <c r="A67" s="61">
        <v>80</v>
      </c>
      <c r="B67" s="179" t="s">
        <v>98</v>
      </c>
      <c r="C67" s="180"/>
      <c r="D67" s="181"/>
      <c r="E67" s="157" t="s">
        <v>229</v>
      </c>
      <c r="F67" s="182" t="s">
        <v>230</v>
      </c>
      <c r="G67" s="183">
        <v>11</v>
      </c>
      <c r="H67" s="184" t="s">
        <v>45</v>
      </c>
      <c r="I67" s="185" t="s">
        <v>45</v>
      </c>
      <c r="J67" s="185">
        <v>46162</v>
      </c>
      <c r="K67" s="67">
        <v>46254</v>
      </c>
      <c r="L67" s="67">
        <v>46203</v>
      </c>
      <c r="M67" s="186">
        <f>IF((L67+IF(AJ67="高",45,30))&gt;P67,P67-30,L67+IF(AJ67="高",45,30))</f>
        <v>46233</v>
      </c>
      <c r="N67" s="186">
        <f>P67-IF(AJ67="高",50,30)</f>
        <v>46235</v>
      </c>
      <c r="O67" s="186">
        <f>P67</f>
        <v>46265</v>
      </c>
      <c r="P67" s="187">
        <v>46265</v>
      </c>
      <c r="Q67" s="188">
        <v>46142</v>
      </c>
      <c r="R67" s="180"/>
      <c r="S67" s="180"/>
      <c r="T67" s="189"/>
      <c r="U67" s="180"/>
      <c r="V67" s="180"/>
      <c r="W67" s="180"/>
      <c r="X67" s="180"/>
      <c r="Y67" s="72" t="str">
        <f t="array" ref="Y67" ca="1">_xlfn.SWITCH(TRUE,ISNUMBER(Q67)*Q67&gt;J67,"逾期完成",ISNUMBER(Q67),"按期完成",J67&gt;TODAY(),"待完成","逾期未完成")</f>
        <v>按期完成</v>
      </c>
      <c r="Z67" s="72" t="str">
        <f t="array" ref="Z67" ca="1">_xlfn.SWITCH(TRUE,ISNUMBER(R67)*R67&gt;K67,"逾期完成",ISNUMBER(R67),"按期完成",K67&gt;TODAY(),"待完成","逾期未完成")</f>
        <v>待完成</v>
      </c>
      <c r="AA67" s="73" t="str">
        <f t="array" ref="AA67" ca="1">_xlfn.SWITCH(TRUE,ISNUMBER(S67)*S67&gt;L67,"逾期完成",ISNUMBER(S67),"按期完成",L67&gt;TODAY(),"待完成","逾期未完成")</f>
        <v>待完成</v>
      </c>
      <c r="AB67" s="73" t="str">
        <f t="array" ref="AB67" ca="1">_xlfn.SWITCH(TRUE,ISNUMBER(T67)*T67&gt;M67,"逾期完成",ISNUMBER(T67),"按期完成",M67&gt;TODAY(),"待完成","逾期未完成")</f>
        <v>待完成</v>
      </c>
      <c r="AC67" s="73" t="str">
        <f t="array" ref="AC67" ca="1">_xlfn.SWITCH(TRUE,ISNUMBER(U67)*U67&gt;N67,"逾期完成",ISNUMBER(U67),"按期完成",N67&gt;TODAY(),"待完成","逾期未完成")</f>
        <v>待完成</v>
      </c>
      <c r="AD67" s="73" t="str">
        <f t="array" ref="AD67" ca="1">_xlfn.SWITCH(TRUE,ISNUMBER(V67)*V67&gt;O67,"逾期完成",ISNUMBER(V67),"按期完成",O67&gt;TODAY(),"待完成","逾期未完成")</f>
        <v>待完成</v>
      </c>
      <c r="AE67" s="73" t="str">
        <f t="shared" si="10"/>
        <v>未获证</v>
      </c>
      <c r="AF67" s="73" t="str">
        <f t="array" ref="AF67" ca="1">_xlfn.SWITCH(TRUE,ISNUMBER(W67)*W67&gt;P67,"逾期完成",ISNUMBER(W67),"按期完成",P67&gt;TODAY(),"待完成","逾期未完成")</f>
        <v>待完成</v>
      </c>
      <c r="AG67" s="73" t="s">
        <v>68</v>
      </c>
      <c r="AH67" s="190"/>
      <c r="AI67" s="191"/>
      <c r="AJ67" s="153" t="s">
        <v>47</v>
      </c>
      <c r="AK67" s="128" t="s">
        <v>152</v>
      </c>
      <c r="AL67" s="192" t="s">
        <v>60</v>
      </c>
      <c r="AM67" s="78" t="str">
        <f t="shared" ca="1" si="11"/>
        <v>送检,按期</v>
      </c>
      <c r="AN67" s="78" t="str">
        <f ca="1">IF(OR(NOT(ISNUMBER(J67)),NOT(ISNUMBER(L67)),NOT(ISNUMBER(M67)),NOT(ISNUMBER(N67)),NOT(ISNUMBER(O67)),NOT(ISNUMBER(P67))),"暂无计划",IF(ISBLANK(Q67),IF(AND(J67-TODAY()&gt;=0,J67-TODAY()&lt;=10),"⚠️ 送检开始（还有"&amp;ROUNDUP(J67-TODAY(),0)&amp;"天，重点关注）",IF(J67&gt;=TODAY(),"送检开始（还有"&amp;ROUNDUP(J67-TODAY(),0)&amp;"天）","送检开始（已超期"&amp;ROUNDUP(TODAY()-J67,0)&amp;"天）")),IF(ISBLANK(S67),IF(AND(L67-TODAY()&gt;=0,L67-TODAY()&lt;=10),"⚠️ 中试开始（还有"&amp;ROUNDUP(L67-TODAY(),0)&amp;"天，重点关注）",IF(L67&gt;=TODAY(),"中试开始（还有"&amp;ROUNDUP(L67-TODAY(),0)&amp;"天）","中试开始（已超期"&amp;ROUNDUP(TODAY()-L67,0)&amp;"天）")),IF(ISBLANK(T67),IF(AND(M67-TODAY()&gt;=0,M67-TODAY()&lt;=10),"⚠️ 中试结束（还有"&amp;ROUNDUP(M67-TODAY(),0)&amp;"天，重点关注）",IF(M67&gt;=TODAY(),"中试结束（还有"&amp;ROUNDUP(M67-TODAY(),0)&amp;"天）","中试结束（已超期"&amp;ROUNDUP(TODAY()-M67,0)&amp;"天）")),IF(ISBLANK(U67),IF(AND(N67-TODAY()&gt;=0,N67-TODAY()&lt;=10),"⚠️ 批产开始（还有"&amp;ROUNDUP(N67-TODAY(),0)&amp;"天，重点关注）",IF(N67&gt;=TODAY(),"批产开始（还有"&amp;ROUNDUP(N67-TODAY(),0)&amp;"天）","批产开始（已超期"&amp;ROUNDUP(TODAY()-N67,0)&amp;"天）")),IF(ISBLANK(V67),IF(AND(O67-TODAY()&gt;=0,O67-TODAY()&lt;=10),"⚠️ 批产结束（还有"&amp;ROUNDUP(O67-TODAY(),0)&amp;"天，重点关注）",IF(O67&gt;=TODAY(),"批产结束（还有"&amp;ROUNDUP(O67-TODAY(),0)&amp;"天）","批产结束（已超期"&amp;ROUNDUP(TODAY()-O67,0)&amp;"天）")),IF(ISBLANK(W67),IF(AND(P67-TODAY()&gt;=0,P67-TODAY()&lt;=10),"⚠️ 上市（还有"&amp;ROUNDUP(P67-TODAY(),0)&amp;"天，重点关注）",IF(P67&gt;=TODAY(),"上市（还有"&amp;ROUNDUP(P67-TODAY(),0)&amp;"天）","上市（已超期"&amp;ROUNDUP(TODAY()-P67,0)&amp;"天）")),"已完成所有阶段")))))))</f>
        <v>中试开始（还有25天）</v>
      </c>
      <c r="AO67" s="193"/>
      <c r="AP67" s="184"/>
      <c r="AQ67" s="44"/>
      <c r="AR67" s="44"/>
    </row>
    <row r="68" spans="1:44" ht="17.5">
      <c r="A68" s="61">
        <v>81</v>
      </c>
      <c r="B68" s="194" t="s">
        <v>98</v>
      </c>
      <c r="C68" s="195"/>
      <c r="D68" s="196"/>
      <c r="E68" s="197" t="s">
        <v>231</v>
      </c>
      <c r="F68" s="198" t="s">
        <v>232</v>
      </c>
      <c r="G68" s="199">
        <v>3</v>
      </c>
      <c r="H68" s="200" t="s">
        <v>45</v>
      </c>
      <c r="I68" s="201" t="s">
        <v>45</v>
      </c>
      <c r="J68" s="201">
        <v>46162</v>
      </c>
      <c r="K68" s="202">
        <v>46254</v>
      </c>
      <c r="L68" s="203">
        <v>46203</v>
      </c>
      <c r="M68" s="201">
        <f>IF((L68+IF(AJ68="高",45,30))&gt;P68,P68-30,L68+IF(AJ68="高",45,30))</f>
        <v>46233</v>
      </c>
      <c r="N68" s="201">
        <f>P68-IF(AJ68="高",50,30)</f>
        <v>46235</v>
      </c>
      <c r="O68" s="201">
        <f>P68</f>
        <v>46265</v>
      </c>
      <c r="P68" s="204">
        <v>46265</v>
      </c>
      <c r="Q68" s="205">
        <v>46160</v>
      </c>
      <c r="R68" s="195"/>
      <c r="S68" s="195"/>
      <c r="T68" s="206"/>
      <c r="U68" s="195"/>
      <c r="V68" s="195"/>
      <c r="W68" s="195"/>
      <c r="X68" s="195"/>
      <c r="Y68" s="72" t="str">
        <f t="array" ref="Y68" ca="1">_xlfn.SWITCH(TRUE,ISNUMBER(Q68)*Q68&gt;J68,"逾期完成",ISNUMBER(Q68),"按期完成",J68&gt;TODAY(),"待完成","逾期未完成")</f>
        <v>按期完成</v>
      </c>
      <c r="Z68" s="72" t="str">
        <f t="array" ref="Z68" ca="1">_xlfn.SWITCH(TRUE,ISNUMBER(R68)*R68&gt;K68,"逾期完成",ISNUMBER(R68),"按期完成",K68&gt;TODAY(),"待完成","逾期未完成")</f>
        <v>待完成</v>
      </c>
      <c r="AA68" s="73" t="str">
        <f t="array" ref="AA68" ca="1">_xlfn.SWITCH(TRUE,ISNUMBER(S68)*S68&gt;L68,"逾期完成",ISNUMBER(S68),"按期完成",L68&gt;TODAY(),"待完成","逾期未完成")</f>
        <v>待完成</v>
      </c>
      <c r="AB68" s="73" t="str">
        <f t="array" ref="AB68" ca="1">_xlfn.SWITCH(TRUE,ISNUMBER(T68)*T68&gt;M68,"逾期完成",ISNUMBER(T68),"按期完成",M68&gt;TODAY(),"待完成","逾期未完成")</f>
        <v>待完成</v>
      </c>
      <c r="AC68" s="73" t="str">
        <f t="array" ref="AC68" ca="1">_xlfn.SWITCH(TRUE,ISNUMBER(U68)*U68&gt;N68,"逾期完成",ISNUMBER(U68),"按期完成",N68&gt;TODAY(),"待完成","逾期未完成")</f>
        <v>待完成</v>
      </c>
      <c r="AD68" s="73" t="str">
        <f t="array" ref="AD68" ca="1">_xlfn.SWITCH(TRUE,ISNUMBER(V68)*V68&gt;O68,"逾期完成",ISNUMBER(V68),"按期完成",O68&gt;TODAY(),"待完成","逾期未完成")</f>
        <v>待完成</v>
      </c>
      <c r="AE68" s="73" t="str">
        <f t="shared" si="10"/>
        <v>未获证</v>
      </c>
      <c r="AF68" s="73" t="str">
        <f t="array" ref="AF68" ca="1">_xlfn.SWITCH(TRUE,ISNUMBER(W68)*W68&gt;P68,"逾期完成",ISNUMBER(W68),"按期完成",P68&gt;TODAY(),"待完成","逾期未完成")</f>
        <v>待完成</v>
      </c>
      <c r="AG68" s="73" t="s">
        <v>68</v>
      </c>
      <c r="AH68" s="164"/>
      <c r="AI68" s="165"/>
      <c r="AJ68" s="153" t="s">
        <v>47</v>
      </c>
      <c r="AK68" s="128" t="s">
        <v>152</v>
      </c>
      <c r="AL68" s="207" t="s">
        <v>60</v>
      </c>
      <c r="AM68" s="78" t="str">
        <f t="shared" ca="1" si="11"/>
        <v>送检,按期</v>
      </c>
      <c r="AN68" s="78" t="str">
        <f ca="1">IF(OR(NOT(ISNUMBER(J68)),NOT(ISNUMBER(L68)),NOT(ISNUMBER(M68)),NOT(ISNUMBER(N68)),NOT(ISNUMBER(O68)),NOT(ISNUMBER(P68))),"暂无计划",IF(ISBLANK(Q68),IF(AND(J68-TODAY()&gt;=0,J68-TODAY()&lt;=10),"⚠️ 送检开始（还有"&amp;ROUNDUP(J68-TODAY(),0)&amp;"天，重点关注）",IF(J68&gt;=TODAY(),"送检开始（还有"&amp;ROUNDUP(J68-TODAY(),0)&amp;"天）","送检开始（已超期"&amp;ROUNDUP(TODAY()-J68,0)&amp;"天）")),IF(ISBLANK(S68),IF(AND(L68-TODAY()&gt;=0,L68-TODAY()&lt;=10),"⚠️ 中试开始（还有"&amp;ROUNDUP(L68-TODAY(),0)&amp;"天，重点关注）",IF(L68&gt;=TODAY(),"中试开始（还有"&amp;ROUNDUP(L68-TODAY(),0)&amp;"天）","中试开始（已超期"&amp;ROUNDUP(TODAY()-L68,0)&amp;"天）")),IF(ISBLANK(T68),IF(AND(M68-TODAY()&gt;=0,M68-TODAY()&lt;=10),"⚠️ 中试结束（还有"&amp;ROUNDUP(M68-TODAY(),0)&amp;"天，重点关注）",IF(M68&gt;=TODAY(),"中试结束（还有"&amp;ROUNDUP(M68-TODAY(),0)&amp;"天）","中试结束（已超期"&amp;ROUNDUP(TODAY()-M68,0)&amp;"天）")),IF(ISBLANK(U68),IF(AND(N68-TODAY()&gt;=0,N68-TODAY()&lt;=10),"⚠️ 批产开始（还有"&amp;ROUNDUP(N68-TODAY(),0)&amp;"天，重点关注）",IF(N68&gt;=TODAY(),"批产开始（还有"&amp;ROUNDUP(N68-TODAY(),0)&amp;"天）","批产开始（已超期"&amp;ROUNDUP(TODAY()-N68,0)&amp;"天）")),IF(ISBLANK(V68),IF(AND(O68-TODAY()&gt;=0,O68-TODAY()&lt;=10),"⚠️ 批产结束（还有"&amp;ROUNDUP(O68-TODAY(),0)&amp;"天，重点关注）",IF(O68&gt;=TODAY(),"批产结束（还有"&amp;ROUNDUP(O68-TODAY(),0)&amp;"天）","批产结束（已超期"&amp;ROUNDUP(TODAY()-O68,0)&amp;"天）")),IF(ISBLANK(W68),IF(AND(P68-TODAY()&gt;=0,P68-TODAY()&lt;=10),"⚠️ 上市（还有"&amp;ROUNDUP(P68-TODAY(),0)&amp;"天，重点关注）",IF(P68&gt;=TODAY(),"上市（还有"&amp;ROUNDUP(P68-TODAY(),0)&amp;"天）","上市（已超期"&amp;ROUNDUP(TODAY()-P68,0)&amp;"天）")),"已完成所有阶段")))))))</f>
        <v>中试开始（还有25天）</v>
      </c>
      <c r="AO68" s="208"/>
      <c r="AP68" s="167"/>
      <c r="AQ68" s="43"/>
      <c r="AR68" s="43"/>
    </row>
    <row r="69" spans="1:44" ht="16.5">
      <c r="A69" s="61">
        <v>58</v>
      </c>
      <c r="B69" s="209" t="s">
        <v>55</v>
      </c>
      <c r="C69" s="116"/>
      <c r="D69" s="210"/>
      <c r="E69" s="118" t="s">
        <v>233</v>
      </c>
      <c r="F69" s="137" t="s">
        <v>234</v>
      </c>
      <c r="G69" s="211">
        <v>1</v>
      </c>
      <c r="H69" s="115">
        <v>10100995</v>
      </c>
      <c r="I69" s="118" t="s">
        <v>235</v>
      </c>
      <c r="J69" s="118">
        <v>46172</v>
      </c>
      <c r="K69" s="118">
        <f>(MAX(J69,Q69)+60)</f>
        <v>46232</v>
      </c>
      <c r="L69" s="118">
        <v>46193</v>
      </c>
      <c r="M69" s="118">
        <f>IF((L69+IF(AJ69="高",45,30))&gt;P69,P69-30,L69+IF(AJ69="高",45,30))</f>
        <v>46238</v>
      </c>
      <c r="N69" s="118">
        <f>P69-IF(AJ69="高",50,30)</f>
        <v>46245</v>
      </c>
      <c r="O69" s="118">
        <f>P69</f>
        <v>46295</v>
      </c>
      <c r="P69" s="118">
        <v>46295</v>
      </c>
      <c r="Q69" s="212">
        <v>46172</v>
      </c>
      <c r="R69" s="213"/>
      <c r="S69" s="137"/>
      <c r="T69" s="213"/>
      <c r="U69" s="213"/>
      <c r="V69" s="213"/>
      <c r="W69" s="213"/>
      <c r="X69" s="213"/>
      <c r="Y69" s="214" t="str">
        <f t="array" ref="Y69" ca="1">_xlfn.SWITCH(TRUE,ISNUMBER(Q69)*Q69&gt;J69,"逾期完成",ISNUMBER(Q69),"按期完成",J69&gt;TODAY(),"待完成","逾期未完成")</f>
        <v>按期完成</v>
      </c>
      <c r="Z69" s="214" t="str">
        <f t="array" ref="Z69" ca="1">_xlfn.SWITCH(TRUE,ISNUMBER(R69)*R69&gt;K85,"逾期完成",ISNUMBER(R69),"按期完成",K85&gt;TODAY(),"待完成","逾期未完成")</f>
        <v>待完成</v>
      </c>
      <c r="AA69" s="215" t="str">
        <f t="array" ref="AA69" ca="1">_xlfn.SWITCH(TRUE,ISNUMBER(S69)*S69&gt;L85,"逾期完成",ISNUMBER(S69),"按期完成",L85&gt;TODAY(),"待完成","逾期未完成")</f>
        <v>待完成</v>
      </c>
      <c r="AB69" s="215" t="str">
        <f t="array" ref="AB69" ca="1">_xlfn.SWITCH(TRUE,ISNUMBER(T69)*T69&gt;M85,"逾期完成",ISNUMBER(T69),"按期完成",M85&gt;TODAY(),"待完成","逾期未完成")</f>
        <v>待完成</v>
      </c>
      <c r="AC69" s="215" t="str">
        <f t="array" ref="AC69" ca="1">_xlfn.SWITCH(TRUE,ISNUMBER(U69)*U69&gt;N85,"逾期完成",ISNUMBER(U69),"按期完成",N85&gt;TODAY(),"待完成","逾期未完成")</f>
        <v>待完成</v>
      </c>
      <c r="AD69" s="215" t="str">
        <f t="array" ref="AD69" ca="1">_xlfn.SWITCH(TRUE,ISNUMBER(V69)*V69&gt;O85,"逾期完成",ISNUMBER(V69),"按期完成",O85&gt;TODAY(),"待完成","逾期未完成")</f>
        <v>待完成</v>
      </c>
      <c r="AE69" s="215" t="str">
        <f t="shared" si="10"/>
        <v>未获证</v>
      </c>
      <c r="AF69" s="215" t="str">
        <f t="array" ref="AF69" ca="1">_xlfn.SWITCH(TRUE,ISNUMBER(W69)*W69&gt;P85,"逾期完成",ISNUMBER(W69),"按期完成",P85&gt;TODAY(),"待完成","逾期未完成")</f>
        <v>逾期未完成</v>
      </c>
      <c r="AG69" s="215" t="s">
        <v>68</v>
      </c>
      <c r="AH69" s="216"/>
      <c r="AI69" s="217" t="s">
        <v>236</v>
      </c>
      <c r="AJ69" s="218" t="s">
        <v>69</v>
      </c>
      <c r="AK69" s="218" t="s">
        <v>70</v>
      </c>
      <c r="AL69" s="219" t="s">
        <v>60</v>
      </c>
      <c r="AM69" s="78" t="str">
        <f t="shared" ca="1" si="11"/>
        <v>送检,按期</v>
      </c>
      <c r="AN69" s="78" t="str">
        <f ca="1">IF(OR(NOT(ISNUMBER(J69)),NOT(ISNUMBER(L85)),NOT(ISNUMBER(M85)),NOT(ISNUMBER(N85)),NOT(ISNUMBER(O85)),NOT(ISNUMBER(P85))),"暂无计划",IF(ISBLANK(Q69),IF(AND(J69-TODAY()&gt;=0,J69-TODAY()&lt;=10),"⚠️ 送检开始（还有"&amp;ROUNDUP(J69-TODAY(),0)&amp;"天，重点关注）",IF(J69&gt;=TODAY(),"送检开始（还有"&amp;ROUNDUP(J69-TODAY(),0)&amp;"天）","送检开始（已超期"&amp;ROUNDUP(TODAY()-J69,0)&amp;"天）")),IF(ISBLANK(S69),IF(AND(L85-TODAY()&gt;=0,L85-TODAY()&lt;=10),"⚠️ 中试开始（还有"&amp;ROUNDUP(L85-TODAY(),0)&amp;"天，重点关注）",IF(L85&gt;=TODAY(),"中试开始（还有"&amp;ROUNDUP(L85-TODAY(),0)&amp;"天）","中试开始（已超期"&amp;ROUNDUP(TODAY()-L85,0)&amp;"天）")),IF(ISBLANK(T69),IF(AND(M85-TODAY()&gt;=0,M85-TODAY()&lt;=10),"⚠️ 中试结束（还有"&amp;ROUNDUP(M85-TODAY(),0)&amp;"天，重点关注）",IF(M85&gt;=TODAY(),"中试结束（还有"&amp;ROUNDUP(M85-TODAY(),0)&amp;"天）","中试结束（已超期"&amp;ROUNDUP(TODAY()-M85,0)&amp;"天）")),IF(ISBLANK(U69),IF(AND(N85-TODAY()&gt;=0,N85-TODAY()&lt;=10),"⚠️ 批产开始（还有"&amp;ROUNDUP(N85-TODAY(),0)&amp;"天，重点关注）",IF(N85&gt;=TODAY(),"批产开始（还有"&amp;ROUNDUP(N85-TODAY(),0)&amp;"天）","批产开始（已超期"&amp;ROUNDUP(TODAY()-N85,0)&amp;"天）")),IF(ISBLANK(V69),IF(AND(O85-TODAY()&gt;=0,O85-TODAY()&lt;=10),"⚠️ 批产结束（还有"&amp;ROUNDUP(O85-TODAY(),0)&amp;"天，重点关注）",IF(O85&gt;=TODAY(),"批产结束（还有"&amp;ROUNDUP(O85-TODAY(),0)&amp;"天）","批产结束（已超期"&amp;ROUNDUP(TODAY()-O85,0)&amp;"天）")),IF(ISBLANK(W69),IF(AND(P85-TODAY()&gt;=0,P85-TODAY()&lt;=10),"⚠️ 上市（还有"&amp;ROUNDUP(P85-TODAY(),0)&amp;"天，重点关注）",IF(P85&gt;=TODAY(),"上市（还有"&amp;ROUNDUP(P85-TODAY(),0)&amp;"天）","上市（已超期"&amp;ROUNDUP(TODAY()-P85,0)&amp;"天）")),"已完成所有阶段")))))))</f>
        <v>暂无计划</v>
      </c>
      <c r="AO69" s="79">
        <v>46174</v>
      </c>
      <c r="AP69" s="79">
        <v>46539</v>
      </c>
    </row>
    <row r="70" spans="1:44" ht="16.5">
      <c r="A70" s="61">
        <v>72</v>
      </c>
      <c r="B70" s="176" t="s">
        <v>55</v>
      </c>
      <c r="C70" s="75"/>
      <c r="D70" s="75"/>
      <c r="E70" s="139" t="s">
        <v>237</v>
      </c>
      <c r="F70" s="220" t="s">
        <v>238</v>
      </c>
      <c r="G70" s="177">
        <v>1</v>
      </c>
      <c r="H70" s="176">
        <v>10200057</v>
      </c>
      <c r="I70" s="65" t="s">
        <v>239</v>
      </c>
      <c r="J70" s="66">
        <v>46183</v>
      </c>
      <c r="K70" s="66">
        <f>(MAX(J70,Q70)+60)</f>
        <v>46243</v>
      </c>
      <c r="L70" s="66">
        <f>MAX(J70,Q70)+30</f>
        <v>46213</v>
      </c>
      <c r="M70" s="66">
        <f>IF((L70+IF(AJ70="高",45,30))&gt;P70,P70-30,L70+IF(AJ70="高",45,30))</f>
        <v>46258</v>
      </c>
      <c r="N70" s="66">
        <f>P70-IF(AJ70="高",50,30)</f>
        <v>46265</v>
      </c>
      <c r="O70" s="66">
        <f>P70</f>
        <v>46315</v>
      </c>
      <c r="P70" s="66">
        <v>46315</v>
      </c>
      <c r="Q70" s="176"/>
      <c r="R70" s="75"/>
      <c r="S70" s="75"/>
      <c r="T70" s="75"/>
      <c r="U70" s="75"/>
      <c r="V70" s="75"/>
      <c r="W70" s="75"/>
      <c r="X70" s="75"/>
      <c r="Y70" s="72" t="str">
        <f t="array" ref="Y70" ca="1">_xlfn.SWITCH(TRUE,ISNUMBER(Q70)*Q70&gt;J70,"逾期完成",ISNUMBER(Q70),"按期完成",J70&gt;TODAY(),"待完成","逾期未完成")</f>
        <v>待完成</v>
      </c>
      <c r="Z70" s="72" t="str">
        <f t="array" ref="Z70" ca="1">_xlfn.SWITCH(TRUE,ISNUMBER(R70)*R70&gt;K70,"逾期完成",ISNUMBER(R70),"按期完成",K70&gt;TODAY(),"待完成","逾期未完成")</f>
        <v>待完成</v>
      </c>
      <c r="AA70" s="73" t="str">
        <f t="array" ref="AA70" ca="1">_xlfn.SWITCH(TRUE,ISNUMBER(S70)*S70&gt;L70,"逾期完成",ISNUMBER(S70),"按期完成",L70&gt;TODAY(),"待完成","逾期未完成")</f>
        <v>待完成</v>
      </c>
      <c r="AB70" s="73" t="str">
        <f t="array" ref="AB70" ca="1">_xlfn.SWITCH(TRUE,ISNUMBER(T70)*T70&gt;M70,"逾期完成",ISNUMBER(T70),"按期完成",M70&gt;TODAY(),"待完成","逾期未完成")</f>
        <v>待完成</v>
      </c>
      <c r="AC70" s="73" t="str">
        <f t="array" ref="AC70" ca="1">_xlfn.SWITCH(TRUE,ISNUMBER(U70)*U70&gt;N70,"逾期完成",ISNUMBER(U70),"按期完成",N70&gt;TODAY(),"待完成","逾期未完成")</f>
        <v>待完成</v>
      </c>
      <c r="AD70" s="73" t="str">
        <f t="array" ref="AD70" ca="1">_xlfn.SWITCH(TRUE,ISNUMBER(V70)*V70&gt;O70,"逾期完成",ISNUMBER(V70),"按期完成",O70&gt;TODAY(),"待完成","逾期未完成")</f>
        <v>待完成</v>
      </c>
      <c r="AE70" s="73" t="str">
        <f t="shared" si="10"/>
        <v>未获证</v>
      </c>
      <c r="AF70" s="73" t="str">
        <f t="array" ref="AF70" ca="1">_xlfn.SWITCH(TRUE,ISNUMBER(W70)*W70&gt;P70,"逾期完成",ISNUMBER(W70),"按期完成",P70&gt;TODAY(),"待完成","逾期未完成")</f>
        <v>待完成</v>
      </c>
      <c r="AG70" s="73" t="s">
        <v>68</v>
      </c>
      <c r="AH70" s="176"/>
      <c r="AI70" s="75" t="s">
        <v>240</v>
      </c>
      <c r="AJ70" s="140" t="s">
        <v>69</v>
      </c>
      <c r="AK70" s="221" t="s">
        <v>241</v>
      </c>
      <c r="AL70" s="219" t="s">
        <v>60</v>
      </c>
      <c r="AM70" s="78" t="str">
        <f t="shared" ca="1" si="11"/>
        <v>未启动,未开始</v>
      </c>
      <c r="AN70" s="78" t="str">
        <f t="shared" ref="AN70:AN92" ca="1" si="12">IF(OR(NOT(ISNUMBER(J70)),NOT(ISNUMBER(L70)),NOT(ISNUMBER(M70)),NOT(ISNUMBER(N70)),NOT(ISNUMBER(O70)),NOT(ISNUMBER(P70))),"暂无计划",IF(ISBLANK(Q70),IF(AND(J70-TODAY()&gt;=0,J70-TODAY()&lt;=10),"⚠️ 送检开始（还有"&amp;ROUNDUP(J70-TODAY(),0)&amp;"天，重点关注）",IF(J70&gt;=TODAY(),"送检开始（还有"&amp;ROUNDUP(J70-TODAY(),0)&amp;"天）","送检开始（已超期"&amp;ROUNDUP(TODAY()-J70,0)&amp;"天）")),IF(ISBLANK(S70),IF(AND(L70-TODAY()&gt;=0,L70-TODAY()&lt;=10),"⚠️ 中试开始（还有"&amp;ROUNDUP(L70-TODAY(),0)&amp;"天，重点关注）",IF(L70&gt;=TODAY(),"中试开始（还有"&amp;ROUNDUP(L70-TODAY(),0)&amp;"天）","中试开始（已超期"&amp;ROUNDUP(TODAY()-L70,0)&amp;"天）")),IF(ISBLANK(T70),IF(AND(M70-TODAY()&gt;=0,M70-TODAY()&lt;=10),"⚠️ 中试结束（还有"&amp;ROUNDUP(M70-TODAY(),0)&amp;"天，重点关注）",IF(M70&gt;=TODAY(),"中试结束（还有"&amp;ROUNDUP(M70-TODAY(),0)&amp;"天）","中试结束（已超期"&amp;ROUNDUP(TODAY()-M70,0)&amp;"天）")),IF(ISBLANK(U70),IF(AND(N70-TODAY()&gt;=0,N70-TODAY()&lt;=10),"⚠️ 批产开始（还有"&amp;ROUNDUP(N70-TODAY(),0)&amp;"天，重点关注）",IF(N70&gt;=TODAY(),"批产开始（还有"&amp;ROUNDUP(N70-TODAY(),0)&amp;"天）","批产开始（已超期"&amp;ROUNDUP(TODAY()-N70,0)&amp;"天）")),IF(ISBLANK(V70),IF(AND(O70-TODAY()&gt;=0,O70-TODAY()&lt;=10),"⚠️ 批产结束（还有"&amp;ROUNDUP(O70-TODAY(),0)&amp;"天，重点关注）",IF(O70&gt;=TODAY(),"批产结束（还有"&amp;ROUNDUP(O70-TODAY(),0)&amp;"天）","批产结束（已超期"&amp;ROUNDUP(TODAY()-O70,0)&amp;"天）")),IF(ISBLANK(W70),IF(AND(P70-TODAY()&gt;=0,P70-TODAY()&lt;=10),"⚠️ 上市（还有"&amp;ROUNDUP(P70-TODAY(),0)&amp;"天，重点关注）",IF(P70&gt;=TODAY(),"上市（还有"&amp;ROUNDUP(P70-TODAY(),0)&amp;"天）","上市（已超期"&amp;ROUNDUP(TODAY()-P70,0)&amp;"天）")),"已完成所有阶段")))))))</f>
        <v>⚠️ 送检开始（还有5天，重点关注）</v>
      </c>
      <c r="AO70" s="79">
        <v>46600</v>
      </c>
      <c r="AP70" s="79">
        <v>46966</v>
      </c>
    </row>
    <row r="71" spans="1:44" ht="16.5">
      <c r="A71" s="61">
        <v>62</v>
      </c>
      <c r="B71" s="83" t="s">
        <v>55</v>
      </c>
      <c r="C71" s="80"/>
      <c r="D71" s="139"/>
      <c r="E71" s="80" t="s">
        <v>242</v>
      </c>
      <c r="F71" s="81" t="s">
        <v>243</v>
      </c>
      <c r="G71" s="99">
        <v>1</v>
      </c>
      <c r="H71" s="83" t="s">
        <v>45</v>
      </c>
      <c r="I71" s="83" t="s">
        <v>45</v>
      </c>
      <c r="J71" s="83">
        <v>46193</v>
      </c>
      <c r="K71" s="84">
        <v>46285</v>
      </c>
      <c r="L71" s="84">
        <v>46285</v>
      </c>
      <c r="M71" s="84">
        <v>46315</v>
      </c>
      <c r="N71" s="84">
        <v>46327</v>
      </c>
      <c r="O71" s="84">
        <v>46357</v>
      </c>
      <c r="P71" s="83">
        <v>46357</v>
      </c>
      <c r="Q71" s="83"/>
      <c r="R71" s="83"/>
      <c r="S71" s="83"/>
      <c r="T71" s="83"/>
      <c r="U71" s="83"/>
      <c r="V71" s="83"/>
      <c r="W71" s="83"/>
      <c r="X71" s="222"/>
      <c r="Y71" s="72" t="str">
        <f t="array" ref="Y71" ca="1">_xlfn.SWITCH(TRUE,ISNUMBER(Q71)*Q71&gt;J71,"逾期完成",ISNUMBER(Q71),"按期完成",J71&gt;TODAY(),"待完成","逾期未完成")</f>
        <v>待完成</v>
      </c>
      <c r="Z71" s="72" t="str">
        <f t="array" ref="Z71" ca="1">_xlfn.SWITCH(TRUE,ISNUMBER(R71)*R71&gt;K71,"逾期完成",ISNUMBER(R71),"按期完成",K71&gt;TODAY(),"待完成","逾期未完成")</f>
        <v>待完成</v>
      </c>
      <c r="AA71" s="73" t="str">
        <f t="array" ref="AA71" ca="1">_xlfn.SWITCH(TRUE,ISNUMBER(S71)*S71&gt;L71,"逾期完成",ISNUMBER(S71),"按期完成",L71&gt;TODAY(),"待完成","逾期未完成")</f>
        <v>待完成</v>
      </c>
      <c r="AB71" s="73" t="str">
        <f t="array" ref="AB71" ca="1">_xlfn.SWITCH(TRUE,ISNUMBER(T71)*T71&gt;M71,"逾期完成",ISNUMBER(T71),"按期完成",M71&gt;TODAY(),"待完成","逾期未完成")</f>
        <v>待完成</v>
      </c>
      <c r="AC71" s="73" t="str">
        <f t="array" ref="AC71" ca="1">_xlfn.SWITCH(TRUE,ISNUMBER(U71)*U71&gt;N71,"逾期完成",ISNUMBER(U71),"按期完成",N71&gt;TODAY(),"待完成","逾期未完成")</f>
        <v>待完成</v>
      </c>
      <c r="AD71" s="73" t="str">
        <f t="array" ref="AD71" ca="1">_xlfn.SWITCH(TRUE,ISNUMBER(V71)*V71&gt;O71,"逾期完成",ISNUMBER(V71),"按期完成",O71&gt;TODAY(),"待完成","逾期未完成")</f>
        <v>待完成</v>
      </c>
      <c r="AE71" s="73" t="str">
        <f t="shared" si="10"/>
        <v>未获证</v>
      </c>
      <c r="AF71" s="73" t="str">
        <f t="array" ref="AF71" ca="1">_xlfn.SWITCH(TRUE,ISNUMBER(W71)*W71&gt;P71,"逾期完成",ISNUMBER(W71),"按期完成",P71&gt;TODAY(),"待完成","逾期未完成")</f>
        <v>待完成</v>
      </c>
      <c r="AG71" s="73" t="s">
        <v>68</v>
      </c>
      <c r="AH71" s="128"/>
      <c r="AI71" s="176"/>
      <c r="AJ71" s="140" t="s">
        <v>69</v>
      </c>
      <c r="AK71" s="218" t="s">
        <v>244</v>
      </c>
      <c r="AL71" s="219" t="s">
        <v>60</v>
      </c>
      <c r="AM71" s="78" t="str">
        <f t="shared" ca="1" si="11"/>
        <v>未启动,未开始</v>
      </c>
      <c r="AN71" s="78" t="str">
        <f t="shared" ca="1" si="12"/>
        <v>送检开始（还有15天）</v>
      </c>
      <c r="AO71" s="79"/>
      <c r="AP71" s="79"/>
      <c r="AQ71" s="47"/>
      <c r="AR71" s="47"/>
    </row>
    <row r="72" spans="1:44" ht="17.5">
      <c r="A72" s="61">
        <v>91</v>
      </c>
      <c r="B72" s="223" t="s">
        <v>245</v>
      </c>
      <c r="C72" s="224"/>
      <c r="D72" s="197"/>
      <c r="E72" s="197" t="s">
        <v>246</v>
      </c>
      <c r="F72" s="225" t="s">
        <v>247</v>
      </c>
      <c r="G72" s="226">
        <v>1</v>
      </c>
      <c r="H72" s="227">
        <v>10401548</v>
      </c>
      <c r="I72" s="228" t="s">
        <v>248</v>
      </c>
      <c r="J72" s="228">
        <v>46203</v>
      </c>
      <c r="K72" s="228">
        <f>(MAX(J72,Q72)+90)</f>
        <v>46293</v>
      </c>
      <c r="L72" s="228">
        <f>MAX(J72,Q72)+45</f>
        <v>46248</v>
      </c>
      <c r="M72" s="228">
        <f>IF((L72+IF(AJ56="高",45,30))&gt;P72,P72-30,L72+IF(AJ56="高",45,30))</f>
        <v>46293</v>
      </c>
      <c r="N72" s="228">
        <f>M72+7</f>
        <v>46300</v>
      </c>
      <c r="O72" s="228">
        <f t="shared" ref="O72:O79" si="13">P72</f>
        <v>46315</v>
      </c>
      <c r="P72" s="229">
        <v>46315</v>
      </c>
      <c r="Q72" s="230"/>
      <c r="R72" s="231"/>
      <c r="S72" s="231"/>
      <c r="T72" s="232"/>
      <c r="U72" s="231"/>
      <c r="V72" s="231"/>
      <c r="W72" s="231"/>
      <c r="X72" s="231"/>
      <c r="Y72" s="72" t="str">
        <f t="array" ref="Y72" ca="1">_xlfn.SWITCH(TRUE,ISNUMBER(Q72)*Q72&gt;J72,"逾期完成",ISNUMBER(Q72),"按期完成",J72&gt;TODAY(),"待完成","逾期未完成")</f>
        <v>待完成</v>
      </c>
      <c r="Z72" s="72" t="str">
        <f t="array" ref="Z72" ca="1">_xlfn.SWITCH(TRUE,ISNUMBER(R72)*R72&gt;K72,"逾期完成",ISNUMBER(R72),"按期完成",K72&gt;TODAY(),"待完成","逾期未完成")</f>
        <v>待完成</v>
      </c>
      <c r="AA72" s="73" t="str">
        <f t="array" ref="AA72" ca="1">_xlfn.SWITCH(TRUE,ISNUMBER(S72)*S72&gt;L72,"逾期完成",ISNUMBER(S72),"按期完成",L72&gt;TODAY(),"待完成","逾期未完成")</f>
        <v>待完成</v>
      </c>
      <c r="AB72" s="73" t="str">
        <f t="array" ref="AB72" ca="1">_xlfn.SWITCH(TRUE,ISNUMBER(T72)*T72&gt;M72,"逾期完成",ISNUMBER(T72),"按期完成",M72&gt;TODAY(),"待完成","逾期未完成")</f>
        <v>待完成</v>
      </c>
      <c r="AC72" s="73" t="str">
        <f t="array" ref="AC72" ca="1">_xlfn.SWITCH(TRUE,ISNUMBER(U72)*U72&gt;N72,"逾期完成",ISNUMBER(U72),"按期完成",N72&gt;TODAY(),"待完成","逾期未完成")</f>
        <v>待完成</v>
      </c>
      <c r="AD72" s="73" t="str">
        <f t="array" ref="AD72" ca="1">_xlfn.SWITCH(TRUE,ISNUMBER(V72)*V72&gt;O72,"逾期完成",ISNUMBER(V72),"按期完成",O72&gt;TODAY(),"待完成","逾期未完成")</f>
        <v>待完成</v>
      </c>
      <c r="AE72" s="73" t="str">
        <f t="shared" si="10"/>
        <v>未获证</v>
      </c>
      <c r="AF72" s="73" t="str">
        <f t="array" ref="AF72" ca="1">_xlfn.SWITCH(TRUE,ISNUMBER(W72)*W72&gt;P72,"逾期完成",ISNUMBER(W72),"按期完成",P72&gt;TODAY(),"待完成","逾期未完成")</f>
        <v>待完成</v>
      </c>
      <c r="AG72" s="73" t="s">
        <v>68</v>
      </c>
      <c r="AH72" s="179"/>
      <c r="AI72" s="191"/>
      <c r="AJ72" s="153" t="s">
        <v>47</v>
      </c>
      <c r="AK72" s="128" t="s">
        <v>101</v>
      </c>
      <c r="AL72" s="183" t="s">
        <v>60</v>
      </c>
      <c r="AM72" s="78" t="str">
        <f t="shared" ca="1" si="11"/>
        <v>未启动,未开始</v>
      </c>
      <c r="AN72" s="78" t="str">
        <f t="shared" ca="1" si="12"/>
        <v>送检开始（还有25天）</v>
      </c>
      <c r="AO72" s="66">
        <v>45778</v>
      </c>
      <c r="AP72" s="98">
        <v>46143</v>
      </c>
      <c r="AQ72" s="44"/>
      <c r="AR72" s="44"/>
    </row>
    <row r="73" spans="1:44" ht="35" customHeight="1">
      <c r="A73" s="61">
        <v>84</v>
      </c>
      <c r="B73" s="179" t="s">
        <v>55</v>
      </c>
      <c r="C73" s="180"/>
      <c r="D73" s="181"/>
      <c r="E73" s="180" t="s">
        <v>249</v>
      </c>
      <c r="F73" s="182" t="s">
        <v>250</v>
      </c>
      <c r="G73" s="183">
        <v>1</v>
      </c>
      <c r="H73" s="184" t="s">
        <v>45</v>
      </c>
      <c r="I73" s="233" t="s">
        <v>45</v>
      </c>
      <c r="J73" s="234">
        <v>46223</v>
      </c>
      <c r="K73" s="235">
        <f>(MAX(J73,Q73)+60)</f>
        <v>46283</v>
      </c>
      <c r="L73" s="235">
        <f>MAX(J73,Q73)+30</f>
        <v>46253</v>
      </c>
      <c r="M73" s="235">
        <f t="shared" ref="M73:M79" si="14">IF((L73+IF(AJ73="高",45,30))&gt;P73,P73-30,L73+IF(AJ73="高",45,30))</f>
        <v>46283</v>
      </c>
      <c r="N73" s="235">
        <f t="shared" ref="N73:N79" si="15">P73-IF(AJ73="高",50,30)</f>
        <v>46316</v>
      </c>
      <c r="O73" s="235">
        <f t="shared" si="13"/>
        <v>46346</v>
      </c>
      <c r="P73" s="236">
        <v>46346</v>
      </c>
      <c r="Q73" s="179"/>
      <c r="R73" s="180"/>
      <c r="S73" s="180"/>
      <c r="T73" s="189"/>
      <c r="U73" s="180"/>
      <c r="V73" s="180"/>
      <c r="W73" s="180"/>
      <c r="X73" s="180"/>
      <c r="Y73" s="72" t="str">
        <f t="array" ref="Y73" ca="1">_xlfn.SWITCH(TRUE,ISNUMBER(Q73)*Q73&gt;J73,"逾期完成",ISNUMBER(Q73),"按期完成",J73&gt;TODAY(),"待完成","逾期未完成")</f>
        <v>待完成</v>
      </c>
      <c r="Z73" s="72" t="str">
        <f t="array" ref="Z73" ca="1">_xlfn.SWITCH(TRUE,ISNUMBER(R73)*R73&gt;K73,"逾期完成",ISNUMBER(R73),"按期完成",K73&gt;TODAY(),"待完成","逾期未完成")</f>
        <v>待完成</v>
      </c>
      <c r="AA73" s="73" t="str">
        <f t="array" ref="AA73" ca="1">_xlfn.SWITCH(TRUE,ISNUMBER(S73)*S73&gt;L73,"逾期完成",ISNUMBER(S73),"按期完成",L73&gt;TODAY(),"待完成","逾期未完成")</f>
        <v>待完成</v>
      </c>
      <c r="AB73" s="73" t="str">
        <f t="array" ref="AB73" ca="1">_xlfn.SWITCH(TRUE,ISNUMBER(T73)*T73&gt;M73,"逾期完成",ISNUMBER(T73),"按期完成",M73&gt;TODAY(),"待完成","逾期未完成")</f>
        <v>待完成</v>
      </c>
      <c r="AC73" s="73" t="str">
        <f t="array" ref="AC73" ca="1">_xlfn.SWITCH(TRUE,ISNUMBER(U73)*U73&gt;N73,"逾期完成",ISNUMBER(U73),"按期完成",N73&gt;TODAY(),"待完成","逾期未完成")</f>
        <v>待完成</v>
      </c>
      <c r="AD73" s="73" t="str">
        <f t="array" ref="AD73" ca="1">_xlfn.SWITCH(TRUE,ISNUMBER(V73)*V73&gt;O73,"逾期完成",ISNUMBER(V73),"按期完成",O73&gt;TODAY(),"待完成","逾期未完成")</f>
        <v>待完成</v>
      </c>
      <c r="AE73" s="73" t="str">
        <f t="shared" si="10"/>
        <v>未获证</v>
      </c>
      <c r="AF73" s="73" t="str">
        <f t="array" ref="AF73" ca="1">_xlfn.SWITCH(TRUE,ISNUMBER(W73)*W73&gt;P73,"逾期完成",ISNUMBER(W73),"按期完成",P73&gt;TODAY(),"待完成","逾期未完成")</f>
        <v>待完成</v>
      </c>
      <c r="AG73" s="73" t="s">
        <v>68</v>
      </c>
      <c r="AH73" s="179"/>
      <c r="AI73" s="191"/>
      <c r="AJ73" s="153" t="s">
        <v>47</v>
      </c>
      <c r="AK73" s="128" t="s">
        <v>251</v>
      </c>
      <c r="AL73" s="183" t="s">
        <v>60</v>
      </c>
      <c r="AM73" s="78" t="str">
        <f t="shared" ca="1" si="11"/>
        <v>未启动,未开始</v>
      </c>
      <c r="AN73" s="78" t="str">
        <f t="shared" ca="1" si="12"/>
        <v>送检开始（还有45天）</v>
      </c>
      <c r="AO73" s="193"/>
      <c r="AP73" s="184"/>
      <c r="AQ73" s="44"/>
      <c r="AR73" s="44"/>
    </row>
    <row r="74" spans="1:44" ht="17.5">
      <c r="A74" s="61">
        <v>87</v>
      </c>
      <c r="B74" s="237" t="s">
        <v>55</v>
      </c>
      <c r="C74" s="238"/>
      <c r="D74" s="239"/>
      <c r="E74" s="238" t="s">
        <v>252</v>
      </c>
      <c r="F74" s="240" t="s">
        <v>253</v>
      </c>
      <c r="G74" s="241">
        <v>1</v>
      </c>
      <c r="H74" s="242" t="s">
        <v>45</v>
      </c>
      <c r="I74" s="243" t="s">
        <v>254</v>
      </c>
      <c r="J74" s="243">
        <v>46223</v>
      </c>
      <c r="K74" s="243">
        <f>(MAX(J74,Q74)+90)</f>
        <v>46313</v>
      </c>
      <c r="L74" s="243">
        <f>MAX(J74,Q74)+60</f>
        <v>46283</v>
      </c>
      <c r="M74" s="243">
        <f t="shared" si="14"/>
        <v>46313</v>
      </c>
      <c r="N74" s="243">
        <f t="shared" si="15"/>
        <v>46316</v>
      </c>
      <c r="O74" s="243">
        <f t="shared" si="13"/>
        <v>46346</v>
      </c>
      <c r="P74" s="244">
        <v>46346</v>
      </c>
      <c r="Q74" s="237"/>
      <c r="R74" s="238"/>
      <c r="S74" s="238"/>
      <c r="T74" s="245"/>
      <c r="U74" s="238"/>
      <c r="V74" s="238"/>
      <c r="W74" s="238"/>
      <c r="X74" s="238"/>
      <c r="Y74" s="214" t="str">
        <f t="array" ref="Y74" ca="1">_xlfn.SWITCH(TRUE,ISNUMBER(Q74)*Q74&gt;J74,"逾期完成",ISNUMBER(Q74),"按期完成",J74&gt;TODAY(),"待完成","逾期未完成")</f>
        <v>待完成</v>
      </c>
      <c r="Z74" s="214" t="str">
        <f t="array" ref="Z74" ca="1">_xlfn.SWITCH(TRUE,ISNUMBER(R74)*R74&gt;K74,"逾期完成",ISNUMBER(R74),"按期完成",K74&gt;TODAY(),"待完成","逾期未完成")</f>
        <v>待完成</v>
      </c>
      <c r="AA74" s="215" t="str">
        <f t="array" ref="AA74" ca="1">_xlfn.SWITCH(TRUE,ISNUMBER(S74)*S74&gt;L74,"逾期完成",ISNUMBER(S74),"按期完成",L74&gt;TODAY(),"待完成","逾期未完成")</f>
        <v>待完成</v>
      </c>
      <c r="AB74" s="215" t="str">
        <f t="array" ref="AB74" ca="1">_xlfn.SWITCH(TRUE,ISNUMBER(T74)*T74&gt;M74,"逾期完成",ISNUMBER(T74),"按期完成",M74&gt;TODAY(),"待完成","逾期未完成")</f>
        <v>待完成</v>
      </c>
      <c r="AC74" s="215" t="str">
        <f t="array" ref="AC74" ca="1">_xlfn.SWITCH(TRUE,ISNUMBER(U74)*U74&gt;N74,"逾期完成",ISNUMBER(U74),"按期完成",N74&gt;TODAY(),"待完成","逾期未完成")</f>
        <v>待完成</v>
      </c>
      <c r="AD74" s="215" t="str">
        <f t="array" ref="AD74" ca="1">_xlfn.SWITCH(TRUE,ISNUMBER(V74)*V74&gt;O74,"逾期完成",ISNUMBER(V74),"按期完成",O74&gt;TODAY(),"待完成","逾期未完成")</f>
        <v>待完成</v>
      </c>
      <c r="AE74" s="215" t="str">
        <f t="shared" si="10"/>
        <v>未获证</v>
      </c>
      <c r="AF74" s="215" t="str">
        <f t="array" ref="AF74" ca="1">_xlfn.SWITCH(TRUE,ISNUMBER(W74)*W74&gt;P74,"逾期完成",ISNUMBER(W74),"按期完成",P74&gt;TODAY(),"待完成","逾期未完成")</f>
        <v>待完成</v>
      </c>
      <c r="AG74" s="215" t="s">
        <v>68</v>
      </c>
      <c r="AH74" s="246"/>
      <c r="AI74" s="246" t="s">
        <v>255</v>
      </c>
      <c r="AJ74" s="247" t="s">
        <v>47</v>
      </c>
      <c r="AK74" s="221" t="s">
        <v>104</v>
      </c>
      <c r="AL74" s="248" t="s">
        <v>60</v>
      </c>
      <c r="AM74" s="249" t="str">
        <f t="shared" ca="1" si="11"/>
        <v>未启动,未开始</v>
      </c>
      <c r="AN74" s="249" t="str">
        <f t="shared" ca="1" si="12"/>
        <v>送检开始（还有45天）</v>
      </c>
      <c r="AO74" s="250">
        <v>45778</v>
      </c>
      <c r="AP74" s="251">
        <v>46143</v>
      </c>
      <c r="AQ74" s="44"/>
      <c r="AR74" s="44"/>
    </row>
    <row r="75" spans="1:44" s="42" customFormat="1" ht="32.5" customHeight="1">
      <c r="A75" s="61">
        <v>88</v>
      </c>
      <c r="B75" s="252" t="s">
        <v>55</v>
      </c>
      <c r="C75" s="253"/>
      <c r="D75" s="254"/>
      <c r="E75" s="253" t="s">
        <v>256</v>
      </c>
      <c r="F75" s="255" t="s">
        <v>257</v>
      </c>
      <c r="G75" s="256">
        <v>1</v>
      </c>
      <c r="H75" s="257" t="s">
        <v>45</v>
      </c>
      <c r="I75" s="258" t="s">
        <v>254</v>
      </c>
      <c r="J75" s="185">
        <v>46223</v>
      </c>
      <c r="K75" s="185">
        <f>(MAX(J75,Q75)+90)</f>
        <v>46313</v>
      </c>
      <c r="L75" s="185">
        <f>MAX(J75,Q75)+60</f>
        <v>46283</v>
      </c>
      <c r="M75" s="185">
        <f t="shared" si="14"/>
        <v>46313</v>
      </c>
      <c r="N75" s="185">
        <f t="shared" si="15"/>
        <v>46316</v>
      </c>
      <c r="O75" s="185">
        <f t="shared" si="13"/>
        <v>46346</v>
      </c>
      <c r="P75" s="259">
        <v>46346</v>
      </c>
      <c r="Q75" s="252"/>
      <c r="R75" s="253"/>
      <c r="S75" s="253"/>
      <c r="T75" s="260"/>
      <c r="U75" s="253"/>
      <c r="V75" s="253"/>
      <c r="W75" s="253"/>
      <c r="X75" s="253"/>
      <c r="Y75" s="214" t="str">
        <f t="array" ref="Y75" ca="1">_xlfn.SWITCH(TRUE,ISNUMBER(Q75)*Q75&gt;J75,"逾期完成",ISNUMBER(Q75),"按期完成",J75&gt;TODAY(),"待完成","逾期未完成")</f>
        <v>待完成</v>
      </c>
      <c r="Z75" s="214" t="str">
        <f t="array" ref="Z75" ca="1">_xlfn.SWITCH(TRUE,ISNUMBER(R75)*R75&gt;K75,"逾期完成",ISNUMBER(R75),"按期完成",K75&gt;TODAY(),"待完成","逾期未完成")</f>
        <v>待完成</v>
      </c>
      <c r="AA75" s="215" t="str">
        <f t="array" ref="AA75" ca="1">_xlfn.SWITCH(TRUE,ISNUMBER(S75)*S75&gt;L75,"逾期完成",ISNUMBER(S75),"按期完成",L75&gt;TODAY(),"待完成","逾期未完成")</f>
        <v>待完成</v>
      </c>
      <c r="AB75" s="215" t="str">
        <f t="array" ref="AB75" ca="1">_xlfn.SWITCH(TRUE,ISNUMBER(T75)*T75&gt;M75,"逾期完成",ISNUMBER(T75),"按期完成",M75&gt;TODAY(),"待完成","逾期未完成")</f>
        <v>待完成</v>
      </c>
      <c r="AC75" s="215" t="str">
        <f t="array" ref="AC75" ca="1">_xlfn.SWITCH(TRUE,ISNUMBER(U75)*U75&gt;N75,"逾期完成",ISNUMBER(U75),"按期完成",N75&gt;TODAY(),"待完成","逾期未完成")</f>
        <v>待完成</v>
      </c>
      <c r="AD75" s="215" t="str">
        <f t="array" ref="AD75" ca="1">_xlfn.SWITCH(TRUE,ISNUMBER(V75)*V75&gt;O75,"逾期完成",ISNUMBER(V75),"按期完成",O75&gt;TODAY(),"待完成","逾期未完成")</f>
        <v>待完成</v>
      </c>
      <c r="AE75" s="215" t="str">
        <f t="shared" si="10"/>
        <v>未获证</v>
      </c>
      <c r="AF75" s="215" t="str">
        <f t="array" ref="AF75" ca="1">_xlfn.SWITCH(TRUE,ISNUMBER(W75)*W75&gt;P75,"逾期完成",ISNUMBER(W75),"按期完成",P75&gt;TODAY(),"待完成","逾期未完成")</f>
        <v>待完成</v>
      </c>
      <c r="AG75" s="215" t="s">
        <v>68</v>
      </c>
      <c r="AH75" s="252"/>
      <c r="AI75" s="261" t="s">
        <v>255</v>
      </c>
      <c r="AJ75" s="262" t="s">
        <v>47</v>
      </c>
      <c r="AK75" s="221" t="s">
        <v>104</v>
      </c>
      <c r="AL75" s="256" t="s">
        <v>60</v>
      </c>
      <c r="AM75" s="263" t="str">
        <f t="shared" ca="1" si="11"/>
        <v>未启动,未开始</v>
      </c>
      <c r="AN75" s="263" t="str">
        <f t="shared" ca="1" si="12"/>
        <v>送检开始（还有45天）</v>
      </c>
      <c r="AO75" s="264">
        <v>45778</v>
      </c>
      <c r="AP75" s="258">
        <v>46143</v>
      </c>
      <c r="AQ75" s="44"/>
      <c r="AR75" s="44"/>
    </row>
    <row r="76" spans="1:44" s="42" customFormat="1" ht="28" customHeight="1">
      <c r="A76" s="61">
        <v>90</v>
      </c>
      <c r="B76" s="252" t="s">
        <v>55</v>
      </c>
      <c r="C76" s="253"/>
      <c r="D76" s="254"/>
      <c r="E76" s="265" t="s">
        <v>258</v>
      </c>
      <c r="F76" s="255" t="s">
        <v>259</v>
      </c>
      <c r="G76" s="256">
        <v>1</v>
      </c>
      <c r="H76" s="257">
        <v>10101009</v>
      </c>
      <c r="I76" s="258" t="s">
        <v>168</v>
      </c>
      <c r="J76" s="67">
        <v>46254</v>
      </c>
      <c r="K76" s="67">
        <v>46356</v>
      </c>
      <c r="L76" s="67">
        <f>MAX(J76,Q76)+72</f>
        <v>46326</v>
      </c>
      <c r="M76" s="67">
        <f t="shared" si="14"/>
        <v>46356</v>
      </c>
      <c r="N76" s="266">
        <f t="shared" si="15"/>
        <v>46367</v>
      </c>
      <c r="O76" s="266">
        <f t="shared" si="13"/>
        <v>46397</v>
      </c>
      <c r="P76" s="267">
        <v>46397</v>
      </c>
      <c r="Q76" s="252"/>
      <c r="R76" s="253"/>
      <c r="S76" s="253"/>
      <c r="T76" s="260"/>
      <c r="U76" s="253"/>
      <c r="V76" s="253"/>
      <c r="W76" s="253"/>
      <c r="X76" s="253"/>
      <c r="Y76" s="268" t="str">
        <f t="array" ref="Y76" ca="1">_xlfn.SWITCH(TRUE,ISNUMBER(Q76)*Q76&gt;J76,"逾期完成",ISNUMBER(Q76),"按期完成",J76&gt;TODAY(),"待完成","逾期未完成")</f>
        <v>待完成</v>
      </c>
      <c r="Z76" s="268" t="str">
        <f t="array" ref="Z76" ca="1">_xlfn.SWITCH(TRUE,ISNUMBER(R76)*R76&gt;K76,"逾期完成",ISNUMBER(R76),"按期完成",K76&gt;TODAY(),"待完成","逾期未完成")</f>
        <v>待完成</v>
      </c>
      <c r="AA76" s="269" t="str">
        <f t="array" ref="AA76" ca="1">_xlfn.SWITCH(TRUE,ISNUMBER(S76)*S76&gt;L76,"逾期完成",ISNUMBER(S76),"按期完成",L76&gt;TODAY(),"待完成","逾期未完成")</f>
        <v>待完成</v>
      </c>
      <c r="AB76" s="269" t="str">
        <f t="array" ref="AB76" ca="1">_xlfn.SWITCH(TRUE,ISNUMBER(T76)*T76&gt;M76,"逾期完成",ISNUMBER(T76),"按期完成",M76&gt;TODAY(),"待完成","逾期未完成")</f>
        <v>待完成</v>
      </c>
      <c r="AC76" s="269" t="str">
        <f t="array" ref="AC76" ca="1">_xlfn.SWITCH(TRUE,ISNUMBER(U76)*U76&gt;N76,"逾期完成",ISNUMBER(U76),"按期完成",N76&gt;TODAY(),"待完成","逾期未完成")</f>
        <v>待完成</v>
      </c>
      <c r="AD76" s="269" t="str">
        <f t="array" ref="AD76" ca="1">_xlfn.SWITCH(TRUE,ISNUMBER(V76)*V76&gt;O76,"逾期完成",ISNUMBER(V76),"按期完成",O76&gt;TODAY(),"待完成","逾期未完成")</f>
        <v>待完成</v>
      </c>
      <c r="AE76" s="269" t="str">
        <f t="shared" si="10"/>
        <v>未获证</v>
      </c>
      <c r="AF76" s="269" t="str">
        <f t="array" ref="AF76" ca="1">_xlfn.SWITCH(TRUE,ISNUMBER(W76)*W76&gt;P76,"逾期完成",ISNUMBER(W76),"按期完成",P76&gt;TODAY(),"待完成","逾期未完成")</f>
        <v>待完成</v>
      </c>
      <c r="AG76" s="269" t="s">
        <v>68</v>
      </c>
      <c r="AH76" s="252"/>
      <c r="AI76" s="261"/>
      <c r="AJ76" s="262" t="s">
        <v>47</v>
      </c>
      <c r="AK76" s="221" t="s">
        <v>170</v>
      </c>
      <c r="AL76" s="256" t="s">
        <v>60</v>
      </c>
      <c r="AM76" s="263" t="str">
        <f t="shared" ca="1" si="11"/>
        <v>未启动,未开始</v>
      </c>
      <c r="AN76" s="263" t="str">
        <f t="shared" ca="1" si="12"/>
        <v>送检开始（还有76天）</v>
      </c>
      <c r="AO76" s="13">
        <v>45778</v>
      </c>
      <c r="AP76" s="270">
        <v>46143</v>
      </c>
      <c r="AQ76" s="43"/>
      <c r="AR76" s="43"/>
    </row>
    <row r="77" spans="1:44" s="43" customFormat="1" ht="17.5">
      <c r="A77" s="61">
        <v>79</v>
      </c>
      <c r="B77" s="271" t="s">
        <v>55</v>
      </c>
      <c r="C77" s="272"/>
      <c r="D77" s="273"/>
      <c r="E77" s="274" t="s">
        <v>260</v>
      </c>
      <c r="F77" s="275" t="s">
        <v>261</v>
      </c>
      <c r="G77" s="276">
        <v>1</v>
      </c>
      <c r="H77" s="277"/>
      <c r="I77" s="278"/>
      <c r="J77" s="279">
        <v>46265</v>
      </c>
      <c r="K77" s="280">
        <f>(MAX(J77,Q77)+60)</f>
        <v>46325</v>
      </c>
      <c r="L77" s="280">
        <f>MAX(J77,Q77)+30</f>
        <v>46295</v>
      </c>
      <c r="M77" s="280">
        <f t="shared" si="14"/>
        <v>46340</v>
      </c>
      <c r="N77" s="280">
        <f t="shared" si="15"/>
        <v>46416</v>
      </c>
      <c r="O77" s="280">
        <f t="shared" si="13"/>
        <v>46466</v>
      </c>
      <c r="P77" s="281">
        <v>46466</v>
      </c>
      <c r="Q77" s="282"/>
      <c r="R77" s="272"/>
      <c r="S77" s="272"/>
      <c r="T77" s="283"/>
      <c r="U77" s="272"/>
      <c r="V77" s="272"/>
      <c r="W77" s="272"/>
      <c r="X77" s="272"/>
      <c r="Y77" s="268" t="str">
        <f t="array" ref="Y77" ca="1">_xlfn.SWITCH(TRUE,ISNUMBER(Q77)*Q77&gt;J77,"逾期完成",ISNUMBER(Q77),"按期完成",J77&gt;TODAY(),"待完成","逾期未完成")</f>
        <v>待完成</v>
      </c>
      <c r="Z77" s="268" t="str">
        <f t="array" ref="Z77" ca="1">_xlfn.SWITCH(TRUE,ISNUMBER(R77)*R77&gt;K77,"逾期完成",ISNUMBER(R77),"按期完成",K77&gt;TODAY(),"待完成","逾期未完成")</f>
        <v>待完成</v>
      </c>
      <c r="AA77" s="269" t="str">
        <f t="array" ref="AA77" ca="1">_xlfn.SWITCH(TRUE,ISNUMBER(S77)*S77&gt;L77,"逾期完成",ISNUMBER(S77),"按期完成",L77&gt;TODAY(),"待完成","逾期未完成")</f>
        <v>待完成</v>
      </c>
      <c r="AB77" s="269" t="str">
        <f t="array" ref="AB77" ca="1">_xlfn.SWITCH(TRUE,ISNUMBER(T77)*T77&gt;M77,"逾期完成",ISNUMBER(T77),"按期完成",M77&gt;TODAY(),"待完成","逾期未完成")</f>
        <v>待完成</v>
      </c>
      <c r="AC77" s="269" t="str">
        <f t="array" ref="AC77" ca="1">_xlfn.SWITCH(TRUE,ISNUMBER(U77)*U77&gt;N77,"逾期完成",ISNUMBER(U77),"按期完成",N77&gt;TODAY(),"待完成","逾期未完成")</f>
        <v>待完成</v>
      </c>
      <c r="AD77" s="269" t="str">
        <f t="array" ref="AD77" ca="1">_xlfn.SWITCH(TRUE,ISNUMBER(V77)*V77&gt;O77,"逾期完成",ISNUMBER(V77),"按期完成",O77&gt;TODAY(),"待完成","逾期未完成")</f>
        <v>待完成</v>
      </c>
      <c r="AE77" s="269" t="str">
        <f t="shared" si="10"/>
        <v>未获证</v>
      </c>
      <c r="AF77" s="269" t="str">
        <f t="array" ref="AF77" ca="1">_xlfn.SWITCH(TRUE,ISNUMBER(W77)*W77&gt;P77,"逾期完成",ISNUMBER(W77),"按期完成",P77&gt;TODAY(),"待完成","逾期未完成")</f>
        <v>待完成</v>
      </c>
      <c r="AG77" s="269" t="s">
        <v>68</v>
      </c>
      <c r="AH77" s="284"/>
      <c r="AI77" s="285"/>
      <c r="AJ77" s="262" t="s">
        <v>69</v>
      </c>
      <c r="AK77" s="221" t="s">
        <v>75</v>
      </c>
      <c r="AL77" s="286" t="s">
        <v>60</v>
      </c>
      <c r="AM77" s="263" t="str">
        <f t="shared" ca="1" si="11"/>
        <v>未启动,未开始</v>
      </c>
      <c r="AN77" s="263" t="str">
        <f t="shared" ca="1" si="12"/>
        <v>送检开始（还有87天）</v>
      </c>
      <c r="AO77" s="287">
        <v>46080</v>
      </c>
      <c r="AP77" s="288">
        <v>46447</v>
      </c>
      <c r="AQ77" s="44"/>
      <c r="AR77" s="44"/>
    </row>
    <row r="78" spans="1:44" s="43" customFormat="1" ht="56">
      <c r="A78" s="61">
        <v>83</v>
      </c>
      <c r="B78" s="289" t="s">
        <v>61</v>
      </c>
      <c r="C78" s="290"/>
      <c r="D78" s="291"/>
      <c r="E78" s="290" t="s">
        <v>262</v>
      </c>
      <c r="F78" s="292" t="s">
        <v>263</v>
      </c>
      <c r="G78" s="293">
        <v>4</v>
      </c>
      <c r="H78" s="294" t="s">
        <v>45</v>
      </c>
      <c r="I78" s="295" t="s">
        <v>264</v>
      </c>
      <c r="J78" s="296">
        <v>46315</v>
      </c>
      <c r="K78" s="297">
        <f>(MAX(J78,Q78)+60)</f>
        <v>46375</v>
      </c>
      <c r="L78" s="297">
        <f>MAX(J78,Q78)+30</f>
        <v>46345</v>
      </c>
      <c r="M78" s="297">
        <f t="shared" si="14"/>
        <v>46375</v>
      </c>
      <c r="N78" s="297">
        <f t="shared" si="15"/>
        <v>46377</v>
      </c>
      <c r="O78" s="297">
        <f t="shared" si="13"/>
        <v>46407</v>
      </c>
      <c r="P78" s="298">
        <v>46407</v>
      </c>
      <c r="Q78" s="289"/>
      <c r="R78" s="290"/>
      <c r="S78" s="290"/>
      <c r="T78" s="299"/>
      <c r="U78" s="290"/>
      <c r="V78" s="290"/>
      <c r="W78" s="290"/>
      <c r="X78" s="290"/>
      <c r="Y78" s="268" t="str">
        <f t="array" ref="Y78" ca="1">_xlfn.SWITCH(TRUE,ISNUMBER(Q78)*Q78&gt;J78,"逾期完成",ISNUMBER(Q78),"按期完成",J78&gt;TODAY(),"待完成","逾期未完成")</f>
        <v>待完成</v>
      </c>
      <c r="Z78" s="268" t="str">
        <f t="array" ref="Z78" ca="1">_xlfn.SWITCH(TRUE,ISNUMBER(R78)*R78&gt;K78,"逾期完成",ISNUMBER(R78),"按期完成",K78&gt;TODAY(),"待完成","逾期未完成")</f>
        <v>待完成</v>
      </c>
      <c r="AA78" s="269" t="str">
        <f t="array" ref="AA78" ca="1">_xlfn.SWITCH(TRUE,ISNUMBER(S78)*S78&gt;L78,"逾期完成",ISNUMBER(S78),"按期完成",L78&gt;TODAY(),"待完成","逾期未完成")</f>
        <v>待完成</v>
      </c>
      <c r="AB78" s="269" t="str">
        <f t="array" ref="AB78" ca="1">_xlfn.SWITCH(TRUE,ISNUMBER(T78)*T78&gt;M78,"逾期完成",ISNUMBER(T78),"按期完成",M78&gt;TODAY(),"待完成","逾期未完成")</f>
        <v>待完成</v>
      </c>
      <c r="AC78" s="269" t="str">
        <f t="array" ref="AC78" ca="1">_xlfn.SWITCH(TRUE,ISNUMBER(U78)*U78&gt;N78,"逾期完成",ISNUMBER(U78),"按期完成",N78&gt;TODAY(),"待完成","逾期未完成")</f>
        <v>待完成</v>
      </c>
      <c r="AD78" s="269" t="str">
        <f t="array" ref="AD78" ca="1">_xlfn.SWITCH(TRUE,ISNUMBER(V78)*V78&gt;O78,"逾期完成",ISNUMBER(V78),"按期完成",O78&gt;TODAY(),"待完成","逾期未完成")</f>
        <v>待完成</v>
      </c>
      <c r="AE78" s="269" t="str">
        <f t="shared" si="10"/>
        <v>未获证</v>
      </c>
      <c r="AF78" s="269" t="str">
        <f t="array" ref="AF78" ca="1">_xlfn.SWITCH(TRUE,ISNUMBER(W78)*W78&gt;P78,"逾期完成",ISNUMBER(W78),"按期完成",P78&gt;TODAY(),"待完成","逾期未完成")</f>
        <v>待完成</v>
      </c>
      <c r="AG78" s="269" t="s">
        <v>68</v>
      </c>
      <c r="AH78" s="252"/>
      <c r="AI78" s="300"/>
      <c r="AJ78" s="262" t="s">
        <v>47</v>
      </c>
      <c r="AK78" s="221" t="s">
        <v>265</v>
      </c>
      <c r="AL78" s="256" t="s">
        <v>49</v>
      </c>
      <c r="AM78" s="263" t="str">
        <f t="shared" ca="1" si="11"/>
        <v>未启动,未开始</v>
      </c>
      <c r="AN78" s="263" t="str">
        <f t="shared" ca="1" si="12"/>
        <v>送检开始（还有137天）</v>
      </c>
      <c r="AO78" s="264">
        <v>46080</v>
      </c>
      <c r="AP78" s="258">
        <v>46447</v>
      </c>
      <c r="AQ78" s="44"/>
      <c r="AR78" s="44"/>
    </row>
    <row r="79" spans="1:44" s="44" customFormat="1" ht="17.5">
      <c r="A79" s="61">
        <v>78</v>
      </c>
      <c r="B79" s="252" t="s">
        <v>42</v>
      </c>
      <c r="C79" s="253"/>
      <c r="D79" s="254"/>
      <c r="E79" s="265" t="s">
        <v>237</v>
      </c>
      <c r="F79" s="255" t="s">
        <v>266</v>
      </c>
      <c r="G79" s="256">
        <v>1</v>
      </c>
      <c r="H79" s="257">
        <v>10200057</v>
      </c>
      <c r="I79" s="258" t="s">
        <v>239</v>
      </c>
      <c r="J79" s="279">
        <v>46366</v>
      </c>
      <c r="K79" s="258">
        <f>(MAX(J79,Q79)+60)</f>
        <v>46426</v>
      </c>
      <c r="L79" s="258">
        <f>MAX(J79,Q79)+30</f>
        <v>46396</v>
      </c>
      <c r="M79" s="258">
        <f t="shared" si="14"/>
        <v>46426</v>
      </c>
      <c r="N79" s="258">
        <f t="shared" si="15"/>
        <v>46436</v>
      </c>
      <c r="O79" s="258">
        <f t="shared" si="13"/>
        <v>46466</v>
      </c>
      <c r="P79" s="264">
        <v>46466</v>
      </c>
      <c r="Q79" s="252"/>
      <c r="R79" s="253"/>
      <c r="S79" s="253"/>
      <c r="T79" s="260"/>
      <c r="U79" s="253"/>
      <c r="V79" s="253"/>
      <c r="W79" s="253"/>
      <c r="X79" s="253"/>
      <c r="Y79" s="268" t="str">
        <f t="array" ref="Y79" ca="1">_xlfn.SWITCH(TRUE,ISNUMBER(Q79)*Q79&gt;J79,"逾期完成",ISNUMBER(Q79),"按期完成",J79&gt;TODAY(),"待完成","逾期未完成")</f>
        <v>待完成</v>
      </c>
      <c r="Z79" s="268" t="str">
        <f t="array" ref="Z79" ca="1">_xlfn.SWITCH(TRUE,ISNUMBER(R79)*R79&gt;K79,"逾期完成",ISNUMBER(R79),"按期完成",K79&gt;TODAY(),"待完成","逾期未完成")</f>
        <v>待完成</v>
      </c>
      <c r="AA79" s="269" t="str">
        <f t="array" ref="AA79" ca="1">_xlfn.SWITCH(TRUE,ISNUMBER(S79)*S79&gt;L79,"逾期完成",ISNUMBER(S79),"按期完成",L79&gt;TODAY(),"待完成","逾期未完成")</f>
        <v>待完成</v>
      </c>
      <c r="AB79" s="269" t="str">
        <f t="array" ref="AB79" ca="1">_xlfn.SWITCH(TRUE,ISNUMBER(T79)*T79&gt;M79,"逾期完成",ISNUMBER(T79),"按期完成",M79&gt;TODAY(),"待完成","逾期未完成")</f>
        <v>待完成</v>
      </c>
      <c r="AC79" s="269" t="str">
        <f t="array" ref="AC79" ca="1">_xlfn.SWITCH(TRUE,ISNUMBER(U79)*U79&gt;N79,"逾期完成",ISNUMBER(U79),"按期完成",N79&gt;TODAY(),"待完成","逾期未完成")</f>
        <v>待完成</v>
      </c>
      <c r="AD79" s="269" t="str">
        <f t="array" ref="AD79" ca="1">_xlfn.SWITCH(TRUE,ISNUMBER(V79)*V79&gt;O79,"逾期完成",ISNUMBER(V79),"按期完成",O79&gt;TODAY(),"待完成","逾期未完成")</f>
        <v>待完成</v>
      </c>
      <c r="AE79" s="269" t="str">
        <f t="shared" si="10"/>
        <v>未获证</v>
      </c>
      <c r="AF79" s="269" t="str">
        <f t="array" ref="AF79" ca="1">_xlfn.SWITCH(TRUE,ISNUMBER(W79)*W79&gt;P79,"逾期完成",ISNUMBER(W79),"按期完成",P79&gt;TODAY(),"待完成","逾期未完成")</f>
        <v>待完成</v>
      </c>
      <c r="AG79" s="269" t="s">
        <v>68</v>
      </c>
      <c r="AH79" s="252">
        <v>0</v>
      </c>
      <c r="AI79" s="300" t="s">
        <v>267</v>
      </c>
      <c r="AJ79" s="262" t="s">
        <v>47</v>
      </c>
      <c r="AK79" s="221" t="s">
        <v>241</v>
      </c>
      <c r="AL79" s="256" t="s">
        <v>60</v>
      </c>
      <c r="AM79" s="263" t="str">
        <f t="shared" ca="1" si="11"/>
        <v>未启动,未开始</v>
      </c>
      <c r="AN79" s="263" t="str">
        <f t="shared" ca="1" si="12"/>
        <v>送检开始（还有188天）</v>
      </c>
      <c r="AO79" s="264">
        <v>46048</v>
      </c>
      <c r="AP79" s="258">
        <v>46600</v>
      </c>
      <c r="AQ79" s="47"/>
      <c r="AR79" s="47"/>
    </row>
    <row r="80" spans="1:44" s="43" customFormat="1" ht="28">
      <c r="A80" s="61">
        <v>63</v>
      </c>
      <c r="B80" s="301" t="s">
        <v>55</v>
      </c>
      <c r="C80" s="302"/>
      <c r="D80" s="14"/>
      <c r="E80" s="301" t="s">
        <v>268</v>
      </c>
      <c r="F80" s="303" t="s">
        <v>269</v>
      </c>
      <c r="G80" s="304">
        <v>2</v>
      </c>
      <c r="H80" s="301" t="s">
        <v>45</v>
      </c>
      <c r="I80" s="301" t="s">
        <v>45</v>
      </c>
      <c r="J80" s="305">
        <v>46388</v>
      </c>
      <c r="K80" s="306">
        <v>46388</v>
      </c>
      <c r="L80" s="301">
        <v>46113</v>
      </c>
      <c r="M80" s="301">
        <v>46142</v>
      </c>
      <c r="N80" s="301">
        <v>46172</v>
      </c>
      <c r="O80" s="301">
        <v>46203</v>
      </c>
      <c r="P80" s="301">
        <v>46264</v>
      </c>
      <c r="Q80" s="301"/>
      <c r="R80" s="301"/>
      <c r="S80" s="307"/>
      <c r="T80" s="301"/>
      <c r="U80" s="301"/>
      <c r="V80" s="301"/>
      <c r="W80" s="308"/>
      <c r="X80" s="308"/>
      <c r="Y80" s="268" t="str">
        <f t="array" ref="Y80" ca="1">_xlfn.SWITCH(TRUE,ISNUMBER(Q80)*Q80&gt;J80,"逾期完成",ISNUMBER(Q80),"按期完成",J80&gt;TODAY(),"待完成","逾期未完成")</f>
        <v>待完成</v>
      </c>
      <c r="Z80" s="268" t="str">
        <f t="array" ref="Z80" ca="1">_xlfn.SWITCH(TRUE,ISNUMBER(R80)*R80&gt;K80,"逾期完成",ISNUMBER(R80),"按期完成",K80&gt;TODAY(),"待完成","逾期未完成")</f>
        <v>待完成</v>
      </c>
      <c r="AA80" s="269" t="str">
        <f t="array" ref="AA80" ca="1">_xlfn.SWITCH(TRUE,ISNUMBER(S80)*S80&gt;L80,"逾期完成",ISNUMBER(S80),"按期完成",L80&gt;TODAY(),"待完成","逾期未完成")</f>
        <v>逾期未完成</v>
      </c>
      <c r="AB80" s="269" t="str">
        <f t="array" ref="AB80" ca="1">_xlfn.SWITCH(TRUE,ISNUMBER(T80)*T80&gt;M80,"逾期完成",ISNUMBER(T80),"按期完成",M80&gt;TODAY(),"待完成","逾期未完成")</f>
        <v>逾期未完成</v>
      </c>
      <c r="AC80" s="269" t="str">
        <f t="array" ref="AC80" ca="1">_xlfn.SWITCH(TRUE,ISNUMBER(U80)*U80&gt;N80,"逾期完成",ISNUMBER(U80),"按期完成",N80&gt;TODAY(),"待完成","逾期未完成")</f>
        <v>逾期未完成</v>
      </c>
      <c r="AD80" s="269" t="str">
        <f t="array" ref="AD80" ca="1">_xlfn.SWITCH(TRUE,ISNUMBER(V80)*V80&gt;O80,"逾期完成",ISNUMBER(V80),"按期完成",O80&gt;TODAY(),"待完成","逾期未完成")</f>
        <v>待完成</v>
      </c>
      <c r="AE80" s="269" t="str">
        <f t="shared" si="10"/>
        <v>未获证</v>
      </c>
      <c r="AF80" s="269" t="str">
        <f t="array" ref="AF80" ca="1">_xlfn.SWITCH(TRUE,ISNUMBER(W80)*W80&gt;P80,"逾期完成",ISNUMBER(W80),"按期完成",P80&gt;TODAY(),"待完成","逾期未完成")</f>
        <v>待完成</v>
      </c>
      <c r="AG80" s="269" t="s">
        <v>68</v>
      </c>
      <c r="AH80" s="309">
        <v>0</v>
      </c>
      <c r="AI80" s="310"/>
      <c r="AJ80" s="41" t="s">
        <v>47</v>
      </c>
      <c r="AK80" s="311" t="s">
        <v>89</v>
      </c>
      <c r="AL80" s="312" t="s">
        <v>60</v>
      </c>
      <c r="AM80" s="263" t="str">
        <f t="shared" ca="1" si="11"/>
        <v>未启动,未开始</v>
      </c>
      <c r="AN80" s="263" t="str">
        <f t="shared" ca="1" si="12"/>
        <v>送检开始（还有210天）</v>
      </c>
      <c r="AO80" s="313"/>
      <c r="AP80" s="313"/>
      <c r="AQ80" s="47"/>
      <c r="AR80" s="47"/>
    </row>
    <row r="81" spans="1:44" s="44" customFormat="1" ht="16.5">
      <c r="A81" s="61">
        <v>64</v>
      </c>
      <c r="B81" s="307" t="s">
        <v>98</v>
      </c>
      <c r="C81" s="307">
        <v>10401566</v>
      </c>
      <c r="D81" s="314"/>
      <c r="E81" s="307" t="s">
        <v>270</v>
      </c>
      <c r="F81" s="315" t="s">
        <v>271</v>
      </c>
      <c r="G81" s="304">
        <v>1</v>
      </c>
      <c r="H81" s="307">
        <v>10400439</v>
      </c>
      <c r="I81" s="307" t="s">
        <v>272</v>
      </c>
      <c r="J81" s="306">
        <v>46388</v>
      </c>
      <c r="K81" s="305">
        <v>46388</v>
      </c>
      <c r="L81" s="125">
        <v>46143</v>
      </c>
      <c r="M81" s="301">
        <f>IF((L81+IF(AJ81="高",45,30))&gt;P81,P81-30,L81+IF(AJ81="高",45,30))</f>
        <v>46173</v>
      </c>
      <c r="N81" s="301">
        <f>P81-IF(AJ81="高",50,30)</f>
        <v>46173</v>
      </c>
      <c r="O81" s="301">
        <f>P81</f>
        <v>46203</v>
      </c>
      <c r="P81" s="301">
        <v>46203</v>
      </c>
      <c r="Q81" s="307"/>
      <c r="R81" s="307"/>
      <c r="S81" s="316">
        <v>46141</v>
      </c>
      <c r="T81" s="307"/>
      <c r="U81" s="307"/>
      <c r="V81" s="307"/>
      <c r="W81" s="307"/>
      <c r="X81" s="307"/>
      <c r="Y81" s="268" t="str">
        <f t="array" ref="Y81" ca="1">_xlfn.SWITCH(TRUE,ISNUMBER(Q81)*Q81&gt;J81,"逾期完成",ISNUMBER(Q81),"按期完成",J81&gt;TODAY(),"待完成","逾期未完成")</f>
        <v>待完成</v>
      </c>
      <c r="Z81" s="268" t="str">
        <f t="array" ref="Z81" ca="1">_xlfn.SWITCH(TRUE,ISNUMBER(R81)*R81&gt;K81,"逾期完成",ISNUMBER(R81),"按期完成",K81&gt;TODAY(),"待完成","逾期未完成")</f>
        <v>待完成</v>
      </c>
      <c r="AA81" s="269" t="str">
        <f t="array" ref="AA81" ca="1">_xlfn.SWITCH(TRUE,ISNUMBER(S81)*S81&gt;L81,"逾期完成",ISNUMBER(S81),"按期完成",L81&gt;TODAY(),"待完成","逾期未完成")</f>
        <v>按期完成</v>
      </c>
      <c r="AB81" s="269" t="str">
        <f t="array" ref="AB81" ca="1">_xlfn.SWITCH(TRUE,ISNUMBER(T81)*T81&gt;M81,"逾期完成",ISNUMBER(T81),"按期完成",M81&gt;TODAY(),"待完成","逾期未完成")</f>
        <v>逾期未完成</v>
      </c>
      <c r="AC81" s="269" t="str">
        <f t="array" ref="AC81" ca="1">_xlfn.SWITCH(TRUE,ISNUMBER(U81)*U81&gt;N81,"逾期完成",ISNUMBER(U81),"按期完成",N81&gt;TODAY(),"待完成","逾期未完成")</f>
        <v>逾期未完成</v>
      </c>
      <c r="AD81" s="269" t="str">
        <f t="array" ref="AD81" ca="1">_xlfn.SWITCH(TRUE,ISNUMBER(V81)*V81&gt;O81,"逾期完成",ISNUMBER(V81),"按期完成",O81&gt;TODAY(),"待完成","逾期未完成")</f>
        <v>待完成</v>
      </c>
      <c r="AE81" s="269" t="str">
        <f t="shared" si="10"/>
        <v>未获证</v>
      </c>
      <c r="AF81" s="269" t="str">
        <f t="array" ref="AF81" ca="1">_xlfn.SWITCH(TRUE,ISNUMBER(W81)*W81&gt;P81,"逾期完成",ISNUMBER(W81),"按期完成",P81&gt;TODAY(),"待完成","逾期未完成")</f>
        <v>待完成</v>
      </c>
      <c r="AG81" s="269" t="s">
        <v>68</v>
      </c>
      <c r="AH81" s="41">
        <v>0</v>
      </c>
      <c r="AI81" s="317" t="s">
        <v>273</v>
      </c>
      <c r="AJ81" s="41" t="s">
        <v>47</v>
      </c>
      <c r="AK81" s="311" t="s">
        <v>274</v>
      </c>
      <c r="AL81" s="312" t="s">
        <v>60</v>
      </c>
      <c r="AM81" s="263" t="str">
        <f t="shared" ca="1" si="11"/>
        <v>未启动,未开始</v>
      </c>
      <c r="AN81" s="263" t="str">
        <f t="shared" ca="1" si="12"/>
        <v>送检开始（还有210天）</v>
      </c>
      <c r="AO81" s="313"/>
      <c r="AP81" s="313"/>
      <c r="AQ81"/>
      <c r="AR81"/>
    </row>
    <row r="82" spans="1:44" s="43" customFormat="1" ht="16.5">
      <c r="A82" s="61">
        <v>60</v>
      </c>
      <c r="B82" s="301" t="s">
        <v>55</v>
      </c>
      <c r="C82" s="302"/>
      <c r="D82" s="10"/>
      <c r="E82" s="301" t="s">
        <v>275</v>
      </c>
      <c r="F82" s="318" t="s">
        <v>276</v>
      </c>
      <c r="G82" s="304">
        <v>1</v>
      </c>
      <c r="H82" s="302" t="s">
        <v>277</v>
      </c>
      <c r="I82" s="301" t="s">
        <v>278</v>
      </c>
      <c r="J82" s="306">
        <v>46388</v>
      </c>
      <c r="K82" s="305">
        <v>46388</v>
      </c>
      <c r="L82" s="125">
        <v>46194</v>
      </c>
      <c r="M82" s="301">
        <v>46234</v>
      </c>
      <c r="N82" s="301">
        <v>46234</v>
      </c>
      <c r="O82" s="301">
        <v>46265</v>
      </c>
      <c r="P82" s="301">
        <v>46264</v>
      </c>
      <c r="Q82" s="301"/>
      <c r="R82" s="301"/>
      <c r="S82" s="301"/>
      <c r="T82" s="301"/>
      <c r="U82" s="301"/>
      <c r="V82" s="301"/>
      <c r="W82" s="301"/>
      <c r="X82" s="301"/>
      <c r="Y82" s="268" t="str">
        <f t="array" ref="Y82" ca="1">_xlfn.SWITCH(TRUE,ISNUMBER(Q82)*Q82&gt;J82,"逾期完成",ISNUMBER(Q82),"按期完成",J82&gt;TODAY(),"待完成","逾期未完成")</f>
        <v>待完成</v>
      </c>
      <c r="Z82" s="268" t="str">
        <f t="array" ref="Z82" ca="1">_xlfn.SWITCH(TRUE,ISNUMBER(R82)*R82&gt;K82,"逾期完成",ISNUMBER(R82),"按期完成",K82&gt;TODAY(),"待完成","逾期未完成")</f>
        <v>待完成</v>
      </c>
      <c r="AA82" s="269" t="str">
        <f t="array" ref="AA82" ca="1">_xlfn.SWITCH(TRUE,ISNUMBER(S82)*S82&gt;L82,"逾期完成",ISNUMBER(S82),"按期完成",L82&gt;TODAY(),"待完成","逾期未完成")</f>
        <v>待完成</v>
      </c>
      <c r="AB82" s="269" t="str">
        <f t="array" ref="AB82" ca="1">_xlfn.SWITCH(TRUE,ISNUMBER(T82)*T82&gt;M82,"逾期完成",ISNUMBER(T82),"按期完成",M82&gt;TODAY(),"待完成","逾期未完成")</f>
        <v>待完成</v>
      </c>
      <c r="AC82" s="269" t="str">
        <f t="array" ref="AC82" ca="1">_xlfn.SWITCH(TRUE,ISNUMBER(U82)*U82&gt;N82,"逾期完成",ISNUMBER(U82),"按期完成",N82&gt;TODAY(),"待完成","逾期未完成")</f>
        <v>待完成</v>
      </c>
      <c r="AD82" s="269" t="str">
        <f t="array" ref="AD82" ca="1">_xlfn.SWITCH(TRUE,ISNUMBER(V82)*V82&gt;O82,"逾期完成",ISNUMBER(V82),"按期完成",O82&gt;TODAY(),"待完成","逾期未完成")</f>
        <v>待完成</v>
      </c>
      <c r="AE82" s="269" t="str">
        <f t="shared" si="10"/>
        <v>未获证</v>
      </c>
      <c r="AF82" s="269" t="str">
        <f t="array" ref="AF82" ca="1">_xlfn.SWITCH(TRUE,ISNUMBER(W82)*W82&gt;P82,"逾期完成",ISNUMBER(W82),"按期完成",P82&gt;TODAY(),"待完成","逾期未完成")</f>
        <v>待完成</v>
      </c>
      <c r="AG82" s="269" t="s">
        <v>68</v>
      </c>
      <c r="AH82" s="41">
        <v>0</v>
      </c>
      <c r="AI82" s="310"/>
      <c r="AJ82" s="319" t="s">
        <v>69</v>
      </c>
      <c r="AK82" s="218" t="s">
        <v>279</v>
      </c>
      <c r="AL82" s="312" t="s">
        <v>60</v>
      </c>
      <c r="AM82" s="263" t="str">
        <f t="shared" ca="1" si="11"/>
        <v>未启动,未开始</v>
      </c>
      <c r="AN82" s="263" t="str">
        <f t="shared" ca="1" si="12"/>
        <v>送检开始（还有210天）</v>
      </c>
      <c r="AO82" s="313"/>
      <c r="AP82" s="313"/>
      <c r="AQ82" s="42"/>
      <c r="AR82" s="42"/>
    </row>
    <row r="83" spans="1:44" s="44" customFormat="1" ht="17.5">
      <c r="A83" s="61">
        <v>75</v>
      </c>
      <c r="B83" s="320" t="s">
        <v>55</v>
      </c>
      <c r="C83" s="321"/>
      <c r="D83" s="321"/>
      <c r="E83" s="322" t="s">
        <v>213</v>
      </c>
      <c r="F83" s="323" t="s">
        <v>280</v>
      </c>
      <c r="G83" s="324">
        <v>1</v>
      </c>
      <c r="H83" s="320">
        <v>10200068</v>
      </c>
      <c r="I83" s="320" t="s">
        <v>281</v>
      </c>
      <c r="J83" s="325">
        <v>46417</v>
      </c>
      <c r="K83" s="325">
        <v>46476</v>
      </c>
      <c r="L83" s="326">
        <f>MAX(J83,Q83)+30</f>
        <v>46447</v>
      </c>
      <c r="M83" s="326">
        <f>IF((L83+IF(AJ67="高",45,30))&gt;P83,P83-30,L83+IF(AJ67="高",45,30))</f>
        <v>46477</v>
      </c>
      <c r="N83" s="326">
        <f>M83</f>
        <v>46477</v>
      </c>
      <c r="O83" s="326">
        <f>P83</f>
        <v>46487</v>
      </c>
      <c r="P83" s="326">
        <v>46487</v>
      </c>
      <c r="Q83" s="320"/>
      <c r="R83" s="321"/>
      <c r="S83" s="321"/>
      <c r="T83" s="321"/>
      <c r="U83" s="321"/>
      <c r="V83" s="321"/>
      <c r="W83" s="321"/>
      <c r="X83" s="321"/>
      <c r="Y83" s="268" t="str">
        <f t="array" ref="Y83" ca="1">_xlfn.SWITCH(TRUE,ISNUMBER(Q83)*Q83&gt;J83,"逾期完成",ISNUMBER(Q83),"按期完成",J83&gt;TODAY(),"待完成","逾期未完成")</f>
        <v>待完成</v>
      </c>
      <c r="Z83" s="268" t="str">
        <f t="array" ref="Z83" ca="1">_xlfn.SWITCH(TRUE,ISNUMBER(R83)*R83&gt;K83,"逾期完成",ISNUMBER(R83),"按期完成",K83&gt;TODAY(),"待完成","逾期未完成")</f>
        <v>待完成</v>
      </c>
      <c r="AA83" s="269" t="str">
        <f t="array" ref="AA83" ca="1">_xlfn.SWITCH(TRUE,ISNUMBER(S83)*S83&gt;L83,"逾期完成",ISNUMBER(S83),"按期完成",L83&gt;TODAY(),"待完成","逾期未完成")</f>
        <v>待完成</v>
      </c>
      <c r="AB83" s="269" t="str">
        <f t="array" ref="AB83" ca="1">_xlfn.SWITCH(TRUE,ISNUMBER(T83)*T83&gt;M83,"逾期完成",ISNUMBER(T83),"按期完成",M83&gt;TODAY(),"待完成","逾期未完成")</f>
        <v>待完成</v>
      </c>
      <c r="AC83" s="269" t="str">
        <f t="array" ref="AC83" ca="1">_xlfn.SWITCH(TRUE,ISNUMBER(U83)*U83&gt;N83,"逾期完成",ISNUMBER(U83),"按期完成",N83&gt;TODAY(),"待完成","逾期未完成")</f>
        <v>待完成</v>
      </c>
      <c r="AD83" s="269" t="str">
        <f t="array" ref="AD83" ca="1">_xlfn.SWITCH(TRUE,ISNUMBER(V83)*V83&gt;O83,"逾期完成",ISNUMBER(V83),"按期完成",O83&gt;TODAY(),"待完成","逾期未完成")</f>
        <v>待完成</v>
      </c>
      <c r="AE83" s="269" t="str">
        <f t="shared" si="10"/>
        <v>未获证</v>
      </c>
      <c r="AF83" s="269" t="str">
        <f t="array" ref="AF83" ca="1">_xlfn.SWITCH(TRUE,ISNUMBER(W83)*W83&gt;P83,"逾期完成",ISNUMBER(W83),"按期完成",P83&gt;TODAY(),"待完成","逾期未完成")</f>
        <v>待完成</v>
      </c>
      <c r="AG83" s="269" t="s">
        <v>68</v>
      </c>
      <c r="AH83" s="320"/>
      <c r="AI83" s="327"/>
      <c r="AJ83" s="328" t="s">
        <v>47</v>
      </c>
      <c r="AK83" s="309" t="s">
        <v>215</v>
      </c>
      <c r="AL83" s="320" t="s">
        <v>60</v>
      </c>
      <c r="AM83" s="263" t="str">
        <f t="shared" ca="1" si="11"/>
        <v>未启动,未开始</v>
      </c>
      <c r="AN83" s="263" t="str">
        <f t="shared" ca="1" si="12"/>
        <v>送检开始（还有239天）</v>
      </c>
      <c r="AO83" s="329">
        <v>46600</v>
      </c>
      <c r="AP83" s="329">
        <v>46966</v>
      </c>
      <c r="AQ83"/>
      <c r="AR83"/>
    </row>
    <row r="84" spans="1:44" s="44" customFormat="1" ht="16.5">
      <c r="A84" s="61">
        <v>57</v>
      </c>
      <c r="B84" s="302" t="s">
        <v>55</v>
      </c>
      <c r="C84" s="318"/>
      <c r="D84" s="10"/>
      <c r="E84" s="302" t="s">
        <v>282</v>
      </c>
      <c r="F84" s="318" t="s">
        <v>283</v>
      </c>
      <c r="G84" s="304">
        <v>1</v>
      </c>
      <c r="H84" s="301" t="s">
        <v>45</v>
      </c>
      <c r="I84" s="301" t="s">
        <v>45</v>
      </c>
      <c r="J84" s="301" t="s">
        <v>284</v>
      </c>
      <c r="K84" s="301" t="s">
        <v>285</v>
      </c>
      <c r="L84" s="301" t="s">
        <v>285</v>
      </c>
      <c r="M84" s="301" t="s">
        <v>285</v>
      </c>
      <c r="N84" s="301">
        <f>P84-IF(AJ84="高",50,30)</f>
        <v>46122</v>
      </c>
      <c r="O84" s="301">
        <f>P84</f>
        <v>46152</v>
      </c>
      <c r="P84" s="301">
        <v>46152</v>
      </c>
      <c r="Q84" s="301"/>
      <c r="R84" s="303"/>
      <c r="S84" s="301">
        <v>46141</v>
      </c>
      <c r="T84" s="301">
        <v>46164</v>
      </c>
      <c r="U84" s="303"/>
      <c r="V84" s="303"/>
      <c r="W84" s="303"/>
      <c r="X84" s="303"/>
      <c r="Y84" s="268" t="str">
        <f t="array" ref="Y84" ca="1">_xlfn.SWITCH(TRUE,ISNUMBER(Q84)*Q84&gt;J84,"逾期完成",ISNUMBER(Q84),"按期完成",J84&gt;TODAY(),"待完成","逾期未完成")</f>
        <v>待完成</v>
      </c>
      <c r="Z84" s="268" t="str">
        <f t="array" ref="Z84" ca="1">_xlfn.SWITCH(TRUE,ISNUMBER(R84)*R84&gt;K84,"逾期完成",ISNUMBER(R84),"按期完成",K84&gt;TODAY(),"待完成","逾期未完成")</f>
        <v>待完成</v>
      </c>
      <c r="AA84" s="269" t="str">
        <f t="array" ref="AA84" ca="1">_xlfn.SWITCH(TRUE,ISNUMBER(S84)*S84&gt;L84,"逾期完成",ISNUMBER(S84),"按期完成",L84&gt;TODAY(),"待完成","逾期未完成")</f>
        <v>按期完成</v>
      </c>
      <c r="AB84" s="269" t="str">
        <f t="array" ref="AB84" ca="1">_xlfn.SWITCH(TRUE,ISNUMBER(T84)*T84&gt;M84,"逾期完成",ISNUMBER(T84),"按期完成",M84&gt;TODAY(),"待完成","逾期未完成")</f>
        <v>按期完成</v>
      </c>
      <c r="AC84" s="269" t="str">
        <f t="array" ref="AC84" ca="1">_xlfn.SWITCH(TRUE,ISNUMBER(U84)*U84&gt;N84,"逾期完成",ISNUMBER(U84),"按期完成",N84&gt;TODAY(),"待完成","逾期未完成")</f>
        <v>逾期未完成</v>
      </c>
      <c r="AD84" s="269" t="str">
        <f t="array" ref="AD84" ca="1">_xlfn.SWITCH(TRUE,ISNUMBER(V84)*V84&gt;O84,"逾期完成",ISNUMBER(V84),"按期完成",O84&gt;TODAY(),"待完成","逾期未完成")</f>
        <v>逾期未完成</v>
      </c>
      <c r="AE84" s="269" t="str">
        <f t="shared" si="10"/>
        <v>未获证</v>
      </c>
      <c r="AF84" s="269" t="str">
        <f t="array" ref="AF84" ca="1">_xlfn.SWITCH(TRUE,ISNUMBER(W84)*W84&gt;P84,"逾期完成",ISNUMBER(W84),"按期完成",P84&gt;TODAY(),"待完成","逾期未完成")</f>
        <v>逾期未完成</v>
      </c>
      <c r="AG84" s="269" t="s">
        <v>68</v>
      </c>
      <c r="AH84" s="309">
        <v>0</v>
      </c>
      <c r="AI84" s="330" t="s">
        <v>286</v>
      </c>
      <c r="AJ84" s="319" t="s">
        <v>47</v>
      </c>
      <c r="AK84" s="331" t="s">
        <v>244</v>
      </c>
      <c r="AL84" s="312" t="s">
        <v>60</v>
      </c>
      <c r="AM84" s="263" t="str">
        <f t="shared" ca="1" si="11"/>
        <v>批产,逾期</v>
      </c>
      <c r="AN84" s="263" t="str">
        <f t="shared" ca="1" si="12"/>
        <v>暂无计划</v>
      </c>
      <c r="AO84" s="313"/>
      <c r="AP84" s="313"/>
      <c r="AQ84" s="47"/>
      <c r="AR84" s="47"/>
    </row>
    <row r="85" spans="1:44" s="44" customFormat="1" ht="16.5">
      <c r="A85" s="61">
        <v>61</v>
      </c>
      <c r="B85" s="301" t="s">
        <v>55</v>
      </c>
      <c r="C85" s="302"/>
      <c r="D85" s="10"/>
      <c r="E85" s="301" t="s">
        <v>287</v>
      </c>
      <c r="F85" s="303" t="s">
        <v>287</v>
      </c>
      <c r="G85" s="304">
        <v>9</v>
      </c>
      <c r="H85" s="301"/>
      <c r="I85" s="301"/>
      <c r="J85" s="301" t="s">
        <v>284</v>
      </c>
      <c r="K85" s="301" t="s">
        <v>285</v>
      </c>
      <c r="L85" s="301" t="s">
        <v>285</v>
      </c>
      <c r="M85" s="301" t="s">
        <v>285</v>
      </c>
      <c r="N85" s="301" t="s">
        <v>285</v>
      </c>
      <c r="O85" s="301" t="s">
        <v>285</v>
      </c>
      <c r="P85" s="301">
        <v>46101</v>
      </c>
      <c r="Q85" s="301" t="s">
        <v>285</v>
      </c>
      <c r="R85" s="301" t="s">
        <v>285</v>
      </c>
      <c r="S85" s="301" t="s">
        <v>285</v>
      </c>
      <c r="T85" s="301" t="s">
        <v>285</v>
      </c>
      <c r="U85" s="301" t="s">
        <v>285</v>
      </c>
      <c r="V85" s="301"/>
      <c r="W85" s="301"/>
      <c r="X85" s="301"/>
      <c r="Y85" s="268" t="e">
        <f t="array" ref="Y85" ca="1">_xlfn.SWITCH(TRUE,ISNUMBER(Q85)*Q85&gt;J85,"逾期完成",ISNUMBER(Q85),"按期完成",J85&gt;TODAY(),"待完成","逾期未完成")</f>
        <v>#VALUE!</v>
      </c>
      <c r="Z85" s="268" t="e">
        <f t="array" ref="Z85" ca="1">_xlfn.SWITCH(TRUE,ISNUMBER(R85)*R85&gt;K85,"逾期完成",ISNUMBER(R85),"按期完成",K85&gt;TODAY(),"待完成","逾期未完成")</f>
        <v>#VALUE!</v>
      </c>
      <c r="AA85" s="269" t="e">
        <f t="array" ref="AA85" ca="1">_xlfn.SWITCH(TRUE,ISNUMBER(S85)*S85&gt;L85,"逾期完成",ISNUMBER(S85),"按期完成",L85&gt;TODAY(),"待完成","逾期未完成")</f>
        <v>#VALUE!</v>
      </c>
      <c r="AB85" s="269" t="e">
        <f t="array" ref="AB85" ca="1">_xlfn.SWITCH(TRUE,ISNUMBER(T85)*T85&gt;M85,"逾期完成",ISNUMBER(T85),"按期完成",M85&gt;TODAY(),"待完成","逾期未完成")</f>
        <v>#VALUE!</v>
      </c>
      <c r="AC85" s="269" t="e">
        <f t="array" ref="AC85" ca="1">_xlfn.SWITCH(TRUE,ISNUMBER(U85)*U85&gt;N85,"逾期完成",ISNUMBER(U85),"按期完成",N85&gt;TODAY(),"待完成","逾期未完成")</f>
        <v>#VALUE!</v>
      </c>
      <c r="AD85" s="269" t="str">
        <f t="array" ref="AD85" ca="1">_xlfn.SWITCH(TRUE,ISNUMBER(V85)*V85&gt;O85,"逾期完成",ISNUMBER(V85),"按期完成",O85&gt;TODAY(),"待完成","逾期未完成")</f>
        <v>待完成</v>
      </c>
      <c r="AE85" s="269" t="str">
        <f t="shared" si="10"/>
        <v>未获证</v>
      </c>
      <c r="AF85" s="269" t="str">
        <f t="array" ref="AF85" ca="1">_xlfn.SWITCH(TRUE,ISNUMBER(W85)*W85&gt;P85,"逾期完成",ISNUMBER(W85),"按期完成",P85&gt;TODAY(),"待完成","逾期未完成")</f>
        <v>逾期未完成</v>
      </c>
      <c r="AG85" s="269" t="s">
        <v>68</v>
      </c>
      <c r="AH85" s="41">
        <v>0</v>
      </c>
      <c r="AI85" s="317"/>
      <c r="AJ85" s="319" t="s">
        <v>47</v>
      </c>
      <c r="AK85" s="319" t="s">
        <v>204</v>
      </c>
      <c r="AL85" s="312" t="s">
        <v>60</v>
      </c>
      <c r="AM85" s="263" t="e">
        <f t="shared" ca="1" si="11"/>
        <v>#VALUE!</v>
      </c>
      <c r="AN85" s="263" t="str">
        <f t="shared" ca="1" si="12"/>
        <v>暂无计划</v>
      </c>
      <c r="AO85" s="313"/>
      <c r="AP85" s="313"/>
      <c r="AQ85"/>
      <c r="AR85"/>
    </row>
    <row r="86" spans="1:44" s="44" customFormat="1" ht="16.5">
      <c r="A86" s="61">
        <v>66</v>
      </c>
      <c r="B86" s="302" t="s">
        <v>55</v>
      </c>
      <c r="C86" s="302"/>
      <c r="D86" s="302"/>
      <c r="E86" s="302" t="s">
        <v>288</v>
      </c>
      <c r="F86" s="318" t="s">
        <v>288</v>
      </c>
      <c r="G86" s="304" t="s">
        <v>289</v>
      </c>
      <c r="H86" s="302"/>
      <c r="I86" s="302"/>
      <c r="J86" s="301"/>
      <c r="K86" s="301"/>
      <c r="L86" s="301"/>
      <c r="M86" s="301"/>
      <c r="N86" s="301"/>
      <c r="O86" s="301"/>
      <c r="P86" s="301"/>
      <c r="Q86" s="302"/>
      <c r="R86" s="302"/>
      <c r="S86" s="302"/>
      <c r="T86" s="302"/>
      <c r="U86" s="302"/>
      <c r="V86" s="302"/>
      <c r="W86" s="302"/>
      <c r="X86" s="302"/>
      <c r="Y86" s="268" t="str">
        <f t="array" ref="Y86" ca="1">_xlfn.SWITCH(TRUE,ISNUMBER(Q86)*Q86&gt;J86,"逾期完成",ISNUMBER(Q86),"按期完成",J86&gt;TODAY(),"待完成","逾期未完成")</f>
        <v>逾期未完成</v>
      </c>
      <c r="Z86" s="268" t="str">
        <f t="array" ref="Z86" ca="1">_xlfn.SWITCH(TRUE,ISNUMBER(R86)*R86&gt;K86,"逾期完成",ISNUMBER(R86),"按期完成",K86&gt;TODAY(),"待完成","逾期未完成")</f>
        <v>逾期未完成</v>
      </c>
      <c r="AA86" s="269" t="str">
        <f t="array" ref="AA86" ca="1">_xlfn.SWITCH(TRUE,ISNUMBER(S86)*S86&gt;L86,"逾期完成",ISNUMBER(S86),"按期完成",L86&gt;TODAY(),"待完成","逾期未完成")</f>
        <v>逾期未完成</v>
      </c>
      <c r="AB86" s="269" t="str">
        <f t="array" ref="AB86" ca="1">_xlfn.SWITCH(TRUE,ISNUMBER(T86)*T86&gt;M86,"逾期完成",ISNUMBER(T86),"按期完成",M86&gt;TODAY(),"待完成","逾期未完成")</f>
        <v>逾期未完成</v>
      </c>
      <c r="AC86" s="269" t="str">
        <f t="array" ref="AC86" ca="1">_xlfn.SWITCH(TRUE,ISNUMBER(U86)*U86&gt;N86,"逾期完成",ISNUMBER(U86),"按期完成",N86&gt;TODAY(),"待完成","逾期未完成")</f>
        <v>逾期未完成</v>
      </c>
      <c r="AD86" s="269" t="str">
        <f t="array" ref="AD86" ca="1">_xlfn.SWITCH(TRUE,ISNUMBER(V86)*V86&gt;O86,"逾期完成",ISNUMBER(V86),"按期完成",O86&gt;TODAY(),"待完成","逾期未完成")</f>
        <v>逾期未完成</v>
      </c>
      <c r="AE86" s="269" t="str">
        <f t="shared" si="10"/>
        <v>未获证</v>
      </c>
      <c r="AF86" s="269" t="str">
        <f t="array" ref="AF86" ca="1">_xlfn.SWITCH(TRUE,ISNUMBER(W86)*W86&gt;P86,"逾期完成",ISNUMBER(W86),"按期完成",P86&gt;TODAY(),"待完成","逾期未完成")</f>
        <v>逾期未完成</v>
      </c>
      <c r="AG86" s="269" t="s">
        <v>68</v>
      </c>
      <c r="AH86" s="309">
        <v>0</v>
      </c>
      <c r="AI86" s="332"/>
      <c r="AJ86" s="41" t="s">
        <v>47</v>
      </c>
      <c r="AK86" s="309" t="s">
        <v>148</v>
      </c>
      <c r="AL86" s="312" t="s">
        <v>60</v>
      </c>
      <c r="AM86" s="263" t="str">
        <f t="shared" ca="1" si="11"/>
        <v>送检,逾期</v>
      </c>
      <c r="AN86" s="263" t="str">
        <f t="shared" ca="1" si="12"/>
        <v>暂无计划</v>
      </c>
      <c r="AO86" s="313"/>
      <c r="AP86" s="313"/>
      <c r="AQ86"/>
      <c r="AR86"/>
    </row>
    <row r="87" spans="1:44" s="44" customFormat="1" ht="56">
      <c r="A87" s="61">
        <v>73</v>
      </c>
      <c r="B87" s="333" t="s">
        <v>55</v>
      </c>
      <c r="C87" s="334"/>
      <c r="D87" s="334"/>
      <c r="E87" s="335" t="s">
        <v>290</v>
      </c>
      <c r="F87" s="335" t="s">
        <v>291</v>
      </c>
      <c r="G87" s="336">
        <v>4</v>
      </c>
      <c r="H87" s="337" t="s">
        <v>292</v>
      </c>
      <c r="I87" s="338" t="s">
        <v>293</v>
      </c>
      <c r="J87" s="339"/>
      <c r="K87" s="339"/>
      <c r="L87" s="339"/>
      <c r="M87" s="339"/>
      <c r="N87" s="339"/>
      <c r="O87" s="339"/>
      <c r="P87" s="339"/>
      <c r="Q87" s="333"/>
      <c r="R87" s="334"/>
      <c r="S87" s="334"/>
      <c r="T87" s="334"/>
      <c r="U87" s="334"/>
      <c r="V87" s="334"/>
      <c r="W87" s="334"/>
      <c r="X87" s="334"/>
      <c r="Y87" s="268" t="str">
        <f t="array" ref="Y87" ca="1">_xlfn.SWITCH(TRUE,ISNUMBER(Q87)*Q87&gt;J87,"逾期完成",ISNUMBER(Q87),"按期完成",J87&gt;TODAY(),"待完成","逾期未完成")</f>
        <v>逾期未完成</v>
      </c>
      <c r="Z87" s="268" t="str">
        <f t="array" ref="Z87" ca="1">_xlfn.SWITCH(TRUE,ISNUMBER(R87)*R87&gt;K87,"逾期完成",ISNUMBER(R87),"按期完成",K87&gt;TODAY(),"待完成","逾期未完成")</f>
        <v>逾期未完成</v>
      </c>
      <c r="AA87" s="269" t="str">
        <f t="array" ref="AA87" ca="1">_xlfn.SWITCH(TRUE,ISNUMBER(S87)*S87&gt;L87,"逾期完成",ISNUMBER(S87),"按期完成",L87&gt;TODAY(),"待完成","逾期未完成")</f>
        <v>逾期未完成</v>
      </c>
      <c r="AB87" s="269" t="str">
        <f t="array" ref="AB87" ca="1">_xlfn.SWITCH(TRUE,ISNUMBER(T87)*T87&gt;M87,"逾期完成",ISNUMBER(T87),"按期完成",M87&gt;TODAY(),"待完成","逾期未完成")</f>
        <v>逾期未完成</v>
      </c>
      <c r="AC87" s="269" t="str">
        <f t="array" ref="AC87" ca="1">_xlfn.SWITCH(TRUE,ISNUMBER(U87)*U87&gt;N87,"逾期完成",ISNUMBER(U87),"按期完成",N87&gt;TODAY(),"待完成","逾期未完成")</f>
        <v>逾期未完成</v>
      </c>
      <c r="AD87" s="269" t="str">
        <f t="array" ref="AD87" ca="1">_xlfn.SWITCH(TRUE,ISNUMBER(V87)*V87&gt;O87,"逾期完成",ISNUMBER(V87),"按期完成",O87&gt;TODAY(),"待完成","逾期未完成")</f>
        <v>逾期未完成</v>
      </c>
      <c r="AE87" s="269" t="str">
        <f t="shared" si="10"/>
        <v>未获证</v>
      </c>
      <c r="AF87" s="269" t="str">
        <f t="array" ref="AF87" ca="1">_xlfn.SWITCH(TRUE,ISNUMBER(W87)*W87&gt;P87,"逾期完成",ISNUMBER(W87),"按期完成",P87&gt;TODAY(),"待完成","逾期未完成")</f>
        <v>逾期未完成</v>
      </c>
      <c r="AG87" s="269" t="s">
        <v>68</v>
      </c>
      <c r="AH87" s="312"/>
      <c r="AI87" s="332"/>
      <c r="AJ87" s="319" t="s">
        <v>69</v>
      </c>
      <c r="AK87" s="309" t="s">
        <v>294</v>
      </c>
      <c r="AL87" s="312" t="s">
        <v>60</v>
      </c>
      <c r="AM87" s="263" t="str">
        <f t="shared" ca="1" si="11"/>
        <v>送检,逾期</v>
      </c>
      <c r="AN87" s="263" t="str">
        <f t="shared" ca="1" si="12"/>
        <v>暂无计划</v>
      </c>
      <c r="AO87" s="340"/>
      <c r="AP87" s="340"/>
      <c r="AQ87" s="43"/>
      <c r="AR87" s="43"/>
    </row>
    <row r="88" spans="1:44" s="44" customFormat="1" ht="17.5">
      <c r="A88" s="61">
        <v>77</v>
      </c>
      <c r="B88" s="271" t="s">
        <v>42</v>
      </c>
      <c r="C88" s="272"/>
      <c r="D88" s="273"/>
      <c r="E88" s="341" t="s">
        <v>295</v>
      </c>
      <c r="F88" s="275" t="s">
        <v>296</v>
      </c>
      <c r="G88" s="342">
        <v>1</v>
      </c>
      <c r="H88" s="277"/>
      <c r="I88" s="278"/>
      <c r="J88" s="278"/>
      <c r="K88" s="278"/>
      <c r="L88" s="278"/>
      <c r="M88" s="278"/>
      <c r="N88" s="278"/>
      <c r="O88" s="278"/>
      <c r="P88" s="272"/>
      <c r="Q88" s="271"/>
      <c r="R88" s="272"/>
      <c r="S88" s="272"/>
      <c r="T88" s="283"/>
      <c r="U88" s="272"/>
      <c r="V88" s="272"/>
      <c r="W88" s="272"/>
      <c r="X88" s="272"/>
      <c r="Y88" s="268" t="str">
        <f t="array" ref="Y88" ca="1">_xlfn.SWITCH(TRUE,ISNUMBER(Q88)*Q88&gt;J88,"逾期完成",ISNUMBER(Q88),"按期完成",J88&gt;TODAY(),"待完成","逾期未完成")</f>
        <v>逾期未完成</v>
      </c>
      <c r="Z88" s="268" t="str">
        <f t="array" ref="Z88" ca="1">_xlfn.SWITCH(TRUE,ISNUMBER(R88)*R88&gt;K88,"逾期完成",ISNUMBER(R88),"按期完成",K88&gt;TODAY(),"待完成","逾期未完成")</f>
        <v>逾期未完成</v>
      </c>
      <c r="AA88" s="269" t="str">
        <f t="array" ref="AA88" ca="1">_xlfn.SWITCH(TRUE,ISNUMBER(S88)*S88&gt;L88,"逾期完成",ISNUMBER(S88),"按期完成",L88&gt;TODAY(),"待完成","逾期未完成")</f>
        <v>逾期未完成</v>
      </c>
      <c r="AB88" s="269" t="str">
        <f t="array" ref="AB88" ca="1">_xlfn.SWITCH(TRUE,ISNUMBER(T88)*T88&gt;M88,"逾期完成",ISNUMBER(T88),"按期完成",M88&gt;TODAY(),"待完成","逾期未完成")</f>
        <v>逾期未完成</v>
      </c>
      <c r="AC88" s="269" t="str">
        <f t="array" ref="AC88" ca="1">_xlfn.SWITCH(TRUE,ISNUMBER(U88)*U88&gt;N88,"逾期完成",ISNUMBER(U88),"按期完成",N88&gt;TODAY(),"待完成","逾期未完成")</f>
        <v>逾期未完成</v>
      </c>
      <c r="AD88" s="269" t="str">
        <f t="array" ref="AD88" ca="1">_xlfn.SWITCH(TRUE,ISNUMBER(V88)*V88&gt;O88,"逾期完成",ISNUMBER(V88),"按期完成",O88&gt;TODAY(),"待完成","逾期未完成")</f>
        <v>逾期未完成</v>
      </c>
      <c r="AE88" s="269" t="str">
        <f t="shared" si="10"/>
        <v>未获证</v>
      </c>
      <c r="AF88" s="269" t="str">
        <f t="array" ref="AF88" ca="1">_xlfn.SWITCH(TRUE,ISNUMBER(W88)*W88&gt;P88,"逾期完成",ISNUMBER(W88),"按期完成",P88&gt;TODAY(),"待完成","逾期未完成")</f>
        <v>逾期未完成</v>
      </c>
      <c r="AG88" s="269" t="s">
        <v>68</v>
      </c>
      <c r="AH88" s="284"/>
      <c r="AI88" s="343"/>
      <c r="AJ88" s="262" t="s">
        <v>47</v>
      </c>
      <c r="AK88" s="309" t="s">
        <v>84</v>
      </c>
      <c r="AL88" s="286" t="s">
        <v>297</v>
      </c>
      <c r="AM88" s="263" t="str">
        <f t="shared" ca="1" si="11"/>
        <v>送检,逾期</v>
      </c>
      <c r="AN88" s="263" t="str">
        <f t="shared" ca="1" si="12"/>
        <v>暂无计划</v>
      </c>
      <c r="AO88" s="344"/>
      <c r="AP88" s="345"/>
    </row>
    <row r="89" spans="1:44" s="44" customFormat="1" ht="17.5">
      <c r="A89" s="61">
        <v>82</v>
      </c>
      <c r="B89" s="252" t="s">
        <v>55</v>
      </c>
      <c r="C89" s="253"/>
      <c r="D89" s="254"/>
      <c r="E89" s="265" t="s">
        <v>298</v>
      </c>
      <c r="F89" s="255" t="s">
        <v>298</v>
      </c>
      <c r="G89" s="256">
        <v>1</v>
      </c>
      <c r="H89" s="257"/>
      <c r="I89" s="258"/>
      <c r="J89" s="258"/>
      <c r="K89" s="258"/>
      <c r="L89" s="258"/>
      <c r="M89" s="258"/>
      <c r="N89" s="258"/>
      <c r="O89" s="258"/>
      <c r="P89" s="253"/>
      <c r="Q89" s="252"/>
      <c r="R89" s="253"/>
      <c r="S89" s="253"/>
      <c r="T89" s="260"/>
      <c r="U89" s="253"/>
      <c r="V89" s="253"/>
      <c r="W89" s="253"/>
      <c r="X89" s="253"/>
      <c r="Y89" s="268" t="str">
        <f t="array" ref="Y89" ca="1">_xlfn.SWITCH(TRUE,ISNUMBER(Q89)*Q89&gt;J89,"逾期完成",ISNUMBER(Q89),"按期完成",J89&gt;TODAY(),"待完成","逾期未完成")</f>
        <v>逾期未完成</v>
      </c>
      <c r="Z89" s="268" t="str">
        <f t="array" ref="Z89" ca="1">_xlfn.SWITCH(TRUE,ISNUMBER(R89)*R89&gt;K89,"逾期完成",ISNUMBER(R89),"按期完成",K89&gt;TODAY(),"待完成","逾期未完成")</f>
        <v>逾期未完成</v>
      </c>
      <c r="AA89" s="269" t="str">
        <f t="array" ref="AA89" ca="1">_xlfn.SWITCH(TRUE,ISNUMBER(S89)*S89&gt;L89,"逾期完成",ISNUMBER(S89),"按期完成",L89&gt;TODAY(),"待完成","逾期未完成")</f>
        <v>逾期未完成</v>
      </c>
      <c r="AB89" s="269" t="str">
        <f t="array" ref="AB89" ca="1">_xlfn.SWITCH(TRUE,ISNUMBER(T89)*T89&gt;M89,"逾期完成",ISNUMBER(T89),"按期完成",M89&gt;TODAY(),"待完成","逾期未完成")</f>
        <v>逾期未完成</v>
      </c>
      <c r="AC89" s="269" t="str">
        <f t="array" ref="AC89" ca="1">_xlfn.SWITCH(TRUE,ISNUMBER(U89)*U89&gt;N89,"逾期完成",ISNUMBER(U89),"按期完成",N89&gt;TODAY(),"待完成","逾期未完成")</f>
        <v>逾期未完成</v>
      </c>
      <c r="AD89" s="269" t="str">
        <f t="array" ref="AD89" ca="1">_xlfn.SWITCH(TRUE,ISNUMBER(V89)*V89&gt;O89,"逾期完成",ISNUMBER(V89),"按期完成",O89&gt;TODAY(),"待完成","逾期未完成")</f>
        <v>逾期未完成</v>
      </c>
      <c r="AE89" s="269" t="str">
        <f t="shared" si="10"/>
        <v>未获证</v>
      </c>
      <c r="AF89" s="269" t="str">
        <f t="array" ref="AF89" ca="1">_xlfn.SWITCH(TRUE,ISNUMBER(W89)*W89&gt;P89,"逾期完成",ISNUMBER(W89),"按期完成",P89&gt;TODAY(),"待完成","逾期未完成")</f>
        <v>逾期未完成</v>
      </c>
      <c r="AG89" s="269" t="s">
        <v>68</v>
      </c>
      <c r="AH89" s="252" t="s">
        <v>299</v>
      </c>
      <c r="AI89" s="300"/>
      <c r="AJ89" s="262" t="s">
        <v>47</v>
      </c>
      <c r="AK89" s="309" t="s">
        <v>300</v>
      </c>
      <c r="AL89" s="256" t="s">
        <v>60</v>
      </c>
      <c r="AM89" s="263" t="str">
        <f t="shared" ca="1" si="11"/>
        <v>送检,逾期</v>
      </c>
      <c r="AN89" s="263" t="str">
        <f t="shared" ca="1" si="12"/>
        <v>暂无计划</v>
      </c>
      <c r="AO89" s="346"/>
      <c r="AP89" s="257"/>
    </row>
    <row r="90" spans="1:44" s="44" customFormat="1" ht="36.5" customHeight="1">
      <c r="A90" s="61">
        <v>85</v>
      </c>
      <c r="B90" s="289" t="s">
        <v>55</v>
      </c>
      <c r="C90" s="290"/>
      <c r="D90" s="291"/>
      <c r="E90" s="290" t="s">
        <v>301</v>
      </c>
      <c r="F90" s="347" t="s">
        <v>302</v>
      </c>
      <c r="G90" s="293">
        <v>1</v>
      </c>
      <c r="H90" s="294"/>
      <c r="I90" s="295" t="s">
        <v>303</v>
      </c>
      <c r="J90" s="297"/>
      <c r="K90" s="297"/>
      <c r="L90" s="297"/>
      <c r="M90" s="297"/>
      <c r="N90" s="297"/>
      <c r="O90" s="297"/>
      <c r="P90" s="290"/>
      <c r="Q90" s="289"/>
      <c r="R90" s="290"/>
      <c r="S90" s="290"/>
      <c r="T90" s="299"/>
      <c r="U90" s="290"/>
      <c r="V90" s="290"/>
      <c r="W90" s="290"/>
      <c r="X90" s="290"/>
      <c r="Y90" s="268" t="str">
        <f t="array" ref="Y90" ca="1">_xlfn.SWITCH(TRUE,ISNUMBER(Q90)*Q90&gt;J90,"逾期完成",ISNUMBER(Q90),"按期完成",J90&gt;TODAY(),"待完成","逾期未完成")</f>
        <v>逾期未完成</v>
      </c>
      <c r="Z90" s="268" t="str">
        <f t="array" ref="Z90" ca="1">_xlfn.SWITCH(TRUE,ISNUMBER(R90)*R90&gt;K90,"逾期完成",ISNUMBER(R90),"按期完成",K90&gt;TODAY(),"待完成","逾期未完成")</f>
        <v>逾期未完成</v>
      </c>
      <c r="AA90" s="269" t="str">
        <f t="array" ref="AA90" ca="1">_xlfn.SWITCH(TRUE,ISNUMBER(S90)*S90&gt;L90,"逾期完成",ISNUMBER(S90),"按期完成",L90&gt;TODAY(),"待完成","逾期未完成")</f>
        <v>逾期未完成</v>
      </c>
      <c r="AB90" s="269" t="str">
        <f t="array" ref="AB90" ca="1">_xlfn.SWITCH(TRUE,ISNUMBER(T90)*T90&gt;M90,"逾期完成",ISNUMBER(T90),"按期完成",M90&gt;TODAY(),"待完成","逾期未完成")</f>
        <v>逾期未完成</v>
      </c>
      <c r="AC90" s="269" t="str">
        <f t="array" ref="AC90" ca="1">_xlfn.SWITCH(TRUE,ISNUMBER(U90)*U90&gt;N90,"逾期完成",ISNUMBER(U90),"按期完成",N90&gt;TODAY(),"待完成","逾期未完成")</f>
        <v>逾期未完成</v>
      </c>
      <c r="AD90" s="269" t="str">
        <f t="array" ref="AD90" ca="1">_xlfn.SWITCH(TRUE,ISNUMBER(V90)*V90&gt;O90,"逾期完成",ISNUMBER(V90),"按期完成",O90&gt;TODAY(),"待完成","逾期未完成")</f>
        <v>逾期未完成</v>
      </c>
      <c r="AE90" s="269" t="str">
        <f t="shared" si="10"/>
        <v>未获证</v>
      </c>
      <c r="AF90" s="269" t="str">
        <f t="array" ref="AF90" ca="1">_xlfn.SWITCH(TRUE,ISNUMBER(W90)*W90&gt;P90,"逾期完成",ISNUMBER(W90),"按期完成",P90&gt;TODAY(),"待完成","逾期未完成")</f>
        <v>逾期未完成</v>
      </c>
      <c r="AG90" s="269" t="s">
        <v>68</v>
      </c>
      <c r="AH90" s="252"/>
      <c r="AI90" s="300"/>
      <c r="AJ90" s="262"/>
      <c r="AK90" s="309" t="s">
        <v>84</v>
      </c>
      <c r="AL90" s="256" t="s">
        <v>60</v>
      </c>
      <c r="AM90" s="263" t="str">
        <f t="shared" ca="1" si="11"/>
        <v>送检,逾期</v>
      </c>
      <c r="AN90" s="263" t="str">
        <f t="shared" ca="1" si="12"/>
        <v>暂无计划</v>
      </c>
      <c r="AO90" s="346"/>
      <c r="AP90" s="257"/>
    </row>
    <row r="91" spans="1:44" s="44" customFormat="1" ht="17.5">
      <c r="A91" s="61">
        <v>86</v>
      </c>
      <c r="B91" s="252" t="s">
        <v>55</v>
      </c>
      <c r="C91" s="253"/>
      <c r="D91" s="254"/>
      <c r="E91" s="253" t="s">
        <v>304</v>
      </c>
      <c r="F91" s="255" t="s">
        <v>305</v>
      </c>
      <c r="G91" s="256">
        <v>1</v>
      </c>
      <c r="H91" s="257"/>
      <c r="I91" s="348" t="s">
        <v>162</v>
      </c>
      <c r="J91" s="185"/>
      <c r="K91" s="185"/>
      <c r="L91" s="185"/>
      <c r="M91" s="185"/>
      <c r="N91" s="185"/>
      <c r="O91" s="185"/>
      <c r="P91" s="180"/>
      <c r="Q91" s="252"/>
      <c r="R91" s="253"/>
      <c r="S91" s="253"/>
      <c r="T91" s="260"/>
      <c r="U91" s="253"/>
      <c r="V91" s="253"/>
      <c r="W91" s="253"/>
      <c r="X91" s="253"/>
      <c r="Y91" s="268" t="str">
        <f t="array" ref="Y91" ca="1">_xlfn.SWITCH(TRUE,ISNUMBER(Q91)*Q91&gt;J91,"逾期完成",ISNUMBER(Q91),"按期完成",J91&gt;TODAY(),"待完成","逾期未完成")</f>
        <v>逾期未完成</v>
      </c>
      <c r="Z91" s="268" t="str">
        <f t="array" ref="Z91" ca="1">_xlfn.SWITCH(TRUE,ISNUMBER(R91)*R91&gt;K91,"逾期完成",ISNUMBER(R91),"按期完成",K91&gt;TODAY(),"待完成","逾期未完成")</f>
        <v>逾期未完成</v>
      </c>
      <c r="AA91" s="269" t="str">
        <f t="array" ref="AA91" ca="1">_xlfn.SWITCH(TRUE,ISNUMBER(S91)*S91&gt;L91,"逾期完成",ISNUMBER(S91),"按期完成",L91&gt;TODAY(),"待完成","逾期未完成")</f>
        <v>逾期未完成</v>
      </c>
      <c r="AB91" s="269" t="str">
        <f t="array" ref="AB91" ca="1">_xlfn.SWITCH(TRUE,ISNUMBER(T91)*T91&gt;M91,"逾期完成",ISNUMBER(T91),"按期完成",M91&gt;TODAY(),"待完成","逾期未完成")</f>
        <v>逾期未完成</v>
      </c>
      <c r="AC91" s="269" t="str">
        <f t="array" ref="AC91" ca="1">_xlfn.SWITCH(TRUE,ISNUMBER(U91)*U91&gt;N91,"逾期完成",ISNUMBER(U91),"按期完成",N91&gt;TODAY(),"待完成","逾期未完成")</f>
        <v>逾期未完成</v>
      </c>
      <c r="AD91" s="269" t="str">
        <f t="array" ref="AD91" ca="1">_xlfn.SWITCH(TRUE,ISNUMBER(V91)*V91&gt;O91,"逾期完成",ISNUMBER(V91),"按期完成",O91&gt;TODAY(),"待完成","逾期未完成")</f>
        <v>逾期未完成</v>
      </c>
      <c r="AE91" s="269" t="str">
        <f t="shared" si="10"/>
        <v>未获证</v>
      </c>
      <c r="AF91" s="269" t="str">
        <f t="array" ref="AF91" ca="1">_xlfn.SWITCH(TRUE,ISNUMBER(W91)*W91&gt;P91,"逾期完成",ISNUMBER(W91),"按期完成",P91&gt;TODAY(),"待完成","逾期未完成")</f>
        <v>逾期未完成</v>
      </c>
      <c r="AG91" s="269" t="s">
        <v>68</v>
      </c>
      <c r="AH91" s="252"/>
      <c r="AI91" s="300"/>
      <c r="AJ91" s="262"/>
      <c r="AK91" s="309" t="s">
        <v>84</v>
      </c>
      <c r="AL91" s="256" t="s">
        <v>60</v>
      </c>
      <c r="AM91" s="263" t="str">
        <f t="shared" ca="1" si="11"/>
        <v>送检,逾期</v>
      </c>
      <c r="AN91" s="263" t="str">
        <f t="shared" ca="1" si="12"/>
        <v>暂无计划</v>
      </c>
      <c r="AO91" s="193"/>
      <c r="AP91" s="184"/>
    </row>
    <row r="92" spans="1:44" s="44" customFormat="1" ht="28">
      <c r="A92" s="61">
        <v>89</v>
      </c>
      <c r="B92" s="349" t="s">
        <v>245</v>
      </c>
      <c r="C92" s="350"/>
      <c r="D92" s="274"/>
      <c r="E92" s="274" t="s">
        <v>306</v>
      </c>
      <c r="F92" s="351" t="s">
        <v>307</v>
      </c>
      <c r="G92" s="352">
        <v>2</v>
      </c>
      <c r="H92" s="353" t="s">
        <v>45</v>
      </c>
      <c r="I92" s="354" t="s">
        <v>45</v>
      </c>
      <c r="J92" s="354"/>
      <c r="K92" s="354"/>
      <c r="L92" s="354"/>
      <c r="M92" s="354"/>
      <c r="N92" s="355"/>
      <c r="O92" s="355"/>
      <c r="P92" s="350"/>
      <c r="Q92" s="349"/>
      <c r="R92" s="350"/>
      <c r="S92" s="350"/>
      <c r="T92" s="356"/>
      <c r="U92" s="350"/>
      <c r="V92" s="350"/>
      <c r="W92" s="350"/>
      <c r="X92" s="350"/>
      <c r="Y92" s="268" t="str">
        <f t="array" ref="Y92" ca="1">_xlfn.SWITCH(TRUE,ISNUMBER(Q92)*Q92&gt;J92,"逾期完成",ISNUMBER(Q92),"按期完成",J92&gt;TODAY(),"待完成","逾期未完成")</f>
        <v>逾期未完成</v>
      </c>
      <c r="Z92" s="268" t="str">
        <f t="array" ref="Z92" ca="1">_xlfn.SWITCH(TRUE,ISNUMBER(R92)*R92&gt;K92,"逾期完成",ISNUMBER(R92),"按期完成",K92&gt;TODAY(),"待完成","逾期未完成")</f>
        <v>逾期未完成</v>
      </c>
      <c r="AA92" s="269" t="str">
        <f t="array" ref="AA92" ca="1">_xlfn.SWITCH(TRUE,ISNUMBER(S92)*S92&gt;L92,"逾期完成",ISNUMBER(S92),"按期完成",L92&gt;TODAY(),"待完成","逾期未完成")</f>
        <v>逾期未完成</v>
      </c>
      <c r="AB92" s="269" t="str">
        <f t="array" ref="AB92" ca="1">_xlfn.SWITCH(TRUE,ISNUMBER(T92)*T92&gt;M92,"逾期完成",ISNUMBER(T92),"按期完成",M92&gt;TODAY(),"待完成","逾期未完成")</f>
        <v>逾期未完成</v>
      </c>
      <c r="AC92" s="269" t="str">
        <f t="array" ref="AC92" ca="1">_xlfn.SWITCH(TRUE,ISNUMBER(U92)*U92&gt;N92,"逾期完成",ISNUMBER(U92),"按期完成",N92&gt;TODAY(),"待完成","逾期未完成")</f>
        <v>逾期未完成</v>
      </c>
      <c r="AD92" s="269" t="str">
        <f t="array" ref="AD92" ca="1">_xlfn.SWITCH(TRUE,ISNUMBER(V92)*V92&gt;O92,"逾期完成",ISNUMBER(V92),"按期完成",O92&gt;TODAY(),"待完成","逾期未完成")</f>
        <v>逾期未完成</v>
      </c>
      <c r="AE92" s="269" t="str">
        <f t="shared" si="10"/>
        <v>未获证</v>
      </c>
      <c r="AF92" s="269" t="str">
        <f t="array" ref="AF92" ca="1">_xlfn.SWITCH(TRUE,ISNUMBER(W92)*W92&gt;P92,"逾期完成",ISNUMBER(W92),"按期完成",P92&gt;TODAY(),"待完成","逾期未完成")</f>
        <v>逾期未完成</v>
      </c>
      <c r="AG92" s="269" t="s">
        <v>68</v>
      </c>
      <c r="AH92" s="252"/>
      <c r="AI92" s="300"/>
      <c r="AJ92" s="262" t="s">
        <v>69</v>
      </c>
      <c r="AK92" s="309" t="s">
        <v>101</v>
      </c>
      <c r="AL92" s="256" t="s">
        <v>60</v>
      </c>
      <c r="AM92" s="263" t="str">
        <f t="shared" ca="1" si="11"/>
        <v>送检,逾期</v>
      </c>
      <c r="AN92" s="263" t="str">
        <f t="shared" ca="1" si="12"/>
        <v>暂无计划</v>
      </c>
      <c r="AO92" s="357">
        <v>45778</v>
      </c>
      <c r="AP92" s="185">
        <v>46143</v>
      </c>
    </row>
    <row r="93" spans="1:44" s="44" customFormat="1" ht="17.5">
      <c r="A93" s="61">
        <v>92</v>
      </c>
      <c r="B93" s="252"/>
      <c r="C93" s="253"/>
      <c r="D93" s="254"/>
      <c r="E93" s="265"/>
      <c r="F93" s="255"/>
      <c r="G93" s="256"/>
      <c r="H93" s="257"/>
      <c r="I93" s="258"/>
      <c r="J93" s="258"/>
      <c r="K93" s="258"/>
      <c r="L93" s="258"/>
      <c r="M93" s="258"/>
      <c r="N93" s="258"/>
      <c r="O93" s="258"/>
      <c r="P93" s="253"/>
      <c r="Q93" s="252"/>
      <c r="R93" s="253"/>
      <c r="S93" s="253"/>
      <c r="T93" s="260"/>
      <c r="U93" s="253"/>
      <c r="V93" s="253"/>
      <c r="W93" s="253"/>
      <c r="X93" s="253"/>
      <c r="Y93" s="358"/>
      <c r="Z93" s="358"/>
      <c r="AA93" s="359"/>
      <c r="AB93" s="359"/>
      <c r="AC93" s="359"/>
      <c r="AD93" s="359"/>
      <c r="AE93" s="359"/>
      <c r="AF93" s="359"/>
      <c r="AG93" s="359"/>
      <c r="AH93" s="252"/>
      <c r="AI93" s="300"/>
      <c r="AJ93" s="262"/>
      <c r="AK93" s="309"/>
      <c r="AL93" s="256"/>
      <c r="AM93" s="360"/>
      <c r="AN93" s="360"/>
      <c r="AO93" s="346"/>
      <c r="AP93" s="257"/>
    </row>
    <row r="94" spans="1:44" s="44" customFormat="1" ht="17.5">
      <c r="A94" s="61">
        <v>93</v>
      </c>
      <c r="B94" s="349"/>
      <c r="C94" s="350"/>
      <c r="D94" s="274"/>
      <c r="E94" s="274"/>
      <c r="F94" s="361"/>
      <c r="G94" s="352"/>
      <c r="H94" s="353"/>
      <c r="I94" s="354"/>
      <c r="J94" s="354"/>
      <c r="K94" s="354"/>
      <c r="L94" s="354"/>
      <c r="M94" s="354"/>
      <c r="N94" s="354"/>
      <c r="O94" s="354"/>
      <c r="P94" s="350"/>
      <c r="Q94" s="349"/>
      <c r="R94" s="350"/>
      <c r="S94" s="350"/>
      <c r="T94" s="356"/>
      <c r="U94" s="350"/>
      <c r="V94" s="350"/>
      <c r="W94" s="350"/>
      <c r="X94" s="350"/>
      <c r="Y94" s="358"/>
      <c r="Z94" s="358"/>
      <c r="AA94" s="359"/>
      <c r="AB94" s="359"/>
      <c r="AC94" s="359"/>
      <c r="AD94" s="359"/>
      <c r="AE94" s="359"/>
      <c r="AF94" s="359"/>
      <c r="AG94" s="359"/>
      <c r="AH94" s="252"/>
      <c r="AI94" s="300"/>
      <c r="AJ94" s="262"/>
      <c r="AK94" s="309"/>
      <c r="AL94" s="256"/>
      <c r="AM94" s="360"/>
      <c r="AN94" s="360"/>
      <c r="AO94" s="346"/>
      <c r="AP94" s="257"/>
    </row>
    <row r="95" spans="1:44" s="44" customFormat="1" ht="17.5">
      <c r="A95" s="61">
        <v>94</v>
      </c>
      <c r="B95" s="252"/>
      <c r="C95" s="253"/>
      <c r="D95" s="254"/>
      <c r="E95" s="265"/>
      <c r="F95" s="255"/>
      <c r="G95" s="256"/>
      <c r="H95" s="257"/>
      <c r="I95" s="258"/>
      <c r="J95" s="258"/>
      <c r="K95" s="258"/>
      <c r="L95" s="258"/>
      <c r="M95" s="258"/>
      <c r="N95" s="258"/>
      <c r="O95" s="258"/>
      <c r="P95" s="253"/>
      <c r="Q95" s="252"/>
      <c r="R95" s="253"/>
      <c r="S95" s="253"/>
      <c r="T95" s="260"/>
      <c r="U95" s="253"/>
      <c r="V95" s="253"/>
      <c r="W95" s="253"/>
      <c r="X95" s="253"/>
      <c r="Y95" s="358"/>
      <c r="Z95" s="358"/>
      <c r="AA95" s="359"/>
      <c r="AB95" s="359"/>
      <c r="AC95" s="359"/>
      <c r="AD95" s="359"/>
      <c r="AE95" s="359"/>
      <c r="AF95" s="359"/>
      <c r="AG95" s="359"/>
      <c r="AH95" s="252"/>
      <c r="AI95" s="300"/>
      <c r="AJ95" s="262"/>
      <c r="AK95" s="309"/>
      <c r="AL95" s="256"/>
      <c r="AM95" s="360"/>
      <c r="AN95" s="360"/>
      <c r="AO95" s="346"/>
      <c r="AP95" s="257"/>
    </row>
    <row r="96" spans="1:44" s="44" customFormat="1" ht="17.5">
      <c r="A96" s="61">
        <v>95</v>
      </c>
      <c r="B96" s="349"/>
      <c r="C96" s="350"/>
      <c r="D96" s="274"/>
      <c r="E96" s="274"/>
      <c r="F96" s="361"/>
      <c r="G96" s="352"/>
      <c r="H96" s="353"/>
      <c r="I96" s="354"/>
      <c r="J96" s="354"/>
      <c r="K96" s="354"/>
      <c r="L96" s="354"/>
      <c r="M96" s="354"/>
      <c r="N96" s="354"/>
      <c r="O96" s="354"/>
      <c r="P96" s="350"/>
      <c r="Q96" s="349"/>
      <c r="R96" s="350"/>
      <c r="S96" s="350"/>
      <c r="T96" s="356"/>
      <c r="U96" s="350"/>
      <c r="V96" s="350"/>
      <c r="W96" s="350"/>
      <c r="X96" s="350"/>
      <c r="Y96" s="358"/>
      <c r="Z96" s="358"/>
      <c r="AA96" s="359"/>
      <c r="AB96" s="359"/>
      <c r="AC96" s="359"/>
      <c r="AD96" s="359"/>
      <c r="AE96" s="359"/>
      <c r="AF96" s="359"/>
      <c r="AG96" s="359"/>
      <c r="AH96" s="252"/>
      <c r="AI96" s="300"/>
      <c r="AJ96" s="262"/>
      <c r="AK96" s="309"/>
      <c r="AL96" s="256"/>
      <c r="AM96" s="360"/>
      <c r="AN96" s="360"/>
      <c r="AO96" s="346"/>
      <c r="AP96" s="257"/>
    </row>
    <row r="97" spans="1:42" s="44" customFormat="1" ht="17.5">
      <c r="A97" s="61">
        <v>96</v>
      </c>
      <c r="B97" s="252"/>
      <c r="C97" s="253"/>
      <c r="D97" s="254"/>
      <c r="E97" s="265"/>
      <c r="F97" s="255"/>
      <c r="G97" s="256"/>
      <c r="H97" s="257"/>
      <c r="I97" s="258"/>
      <c r="J97" s="258"/>
      <c r="K97" s="258"/>
      <c r="L97" s="258"/>
      <c r="M97" s="258"/>
      <c r="N97" s="258"/>
      <c r="O97" s="258"/>
      <c r="P97" s="253"/>
      <c r="Q97" s="252"/>
      <c r="R97" s="253"/>
      <c r="S97" s="253"/>
      <c r="T97" s="260"/>
      <c r="U97" s="253"/>
      <c r="V97" s="253"/>
      <c r="W97" s="253"/>
      <c r="X97" s="253"/>
      <c r="Y97" s="358"/>
      <c r="Z97" s="358"/>
      <c r="AA97" s="359"/>
      <c r="AB97" s="359"/>
      <c r="AC97" s="359"/>
      <c r="AD97" s="359"/>
      <c r="AE97" s="359"/>
      <c r="AF97" s="359"/>
      <c r="AG97" s="359"/>
      <c r="AH97" s="252"/>
      <c r="AI97" s="300"/>
      <c r="AJ97" s="262"/>
      <c r="AK97" s="309"/>
      <c r="AL97" s="256"/>
      <c r="AM97" s="360"/>
      <c r="AN97" s="360"/>
      <c r="AO97" s="346"/>
      <c r="AP97" s="257"/>
    </row>
    <row r="98" spans="1:42" s="44" customFormat="1" ht="17.5">
      <c r="A98" s="61">
        <v>97</v>
      </c>
      <c r="B98" s="349"/>
      <c r="C98" s="350"/>
      <c r="D98" s="274"/>
      <c r="E98" s="274"/>
      <c r="F98" s="361"/>
      <c r="G98" s="352"/>
      <c r="H98" s="353"/>
      <c r="I98" s="354"/>
      <c r="J98" s="354"/>
      <c r="K98" s="354"/>
      <c r="L98" s="354"/>
      <c r="M98" s="354"/>
      <c r="N98" s="354"/>
      <c r="O98" s="354"/>
      <c r="P98" s="350"/>
      <c r="Q98" s="349"/>
      <c r="R98" s="350"/>
      <c r="S98" s="350"/>
      <c r="T98" s="356"/>
      <c r="U98" s="350"/>
      <c r="V98" s="350"/>
      <c r="W98" s="350"/>
      <c r="X98" s="350"/>
      <c r="Y98" s="358"/>
      <c r="Z98" s="358"/>
      <c r="AA98" s="359"/>
      <c r="AB98" s="359"/>
      <c r="AC98" s="359"/>
      <c r="AD98" s="359"/>
      <c r="AE98" s="359"/>
      <c r="AF98" s="359"/>
      <c r="AG98" s="359"/>
      <c r="AH98" s="252"/>
      <c r="AI98" s="300"/>
      <c r="AJ98" s="262"/>
      <c r="AK98" s="309"/>
      <c r="AL98" s="256"/>
      <c r="AM98" s="360"/>
      <c r="AN98" s="360"/>
      <c r="AO98" s="346"/>
      <c r="AP98" s="257"/>
    </row>
    <row r="99" spans="1:42" s="44" customFormat="1" ht="17.5">
      <c r="A99" s="61">
        <v>98</v>
      </c>
      <c r="B99" s="252"/>
      <c r="C99" s="253"/>
      <c r="D99" s="254"/>
      <c r="E99" s="265"/>
      <c r="F99" s="255"/>
      <c r="G99" s="256"/>
      <c r="H99" s="257"/>
      <c r="I99" s="258"/>
      <c r="J99" s="258"/>
      <c r="K99" s="258"/>
      <c r="L99" s="258"/>
      <c r="M99" s="258"/>
      <c r="N99" s="258"/>
      <c r="O99" s="258"/>
      <c r="P99" s="253"/>
      <c r="Q99" s="252"/>
      <c r="R99" s="253"/>
      <c r="S99" s="253"/>
      <c r="T99" s="260"/>
      <c r="U99" s="253"/>
      <c r="V99" s="253"/>
      <c r="W99" s="253"/>
      <c r="X99" s="253"/>
      <c r="Y99" s="358"/>
      <c r="Z99" s="358"/>
      <c r="AA99" s="359"/>
      <c r="AB99" s="359"/>
      <c r="AC99" s="359"/>
      <c r="AD99" s="359"/>
      <c r="AE99" s="359"/>
      <c r="AF99" s="359"/>
      <c r="AG99" s="359"/>
      <c r="AH99" s="252"/>
      <c r="AI99" s="300"/>
      <c r="AJ99" s="262"/>
      <c r="AK99" s="309"/>
      <c r="AL99" s="256"/>
      <c r="AM99" s="360"/>
      <c r="AN99" s="360"/>
      <c r="AO99" s="346"/>
      <c r="AP99" s="257"/>
    </row>
    <row r="100" spans="1:42" s="44" customFormat="1" ht="17.5">
      <c r="A100" s="61">
        <v>99</v>
      </c>
      <c r="B100" s="349"/>
      <c r="C100" s="350"/>
      <c r="D100" s="274"/>
      <c r="E100" s="274"/>
      <c r="F100" s="361"/>
      <c r="G100" s="352"/>
      <c r="H100" s="353"/>
      <c r="I100" s="354"/>
      <c r="J100" s="354"/>
      <c r="K100" s="354"/>
      <c r="L100" s="354"/>
      <c r="M100" s="354"/>
      <c r="N100" s="354"/>
      <c r="O100" s="354"/>
      <c r="P100" s="350"/>
      <c r="Q100" s="349"/>
      <c r="R100" s="350"/>
      <c r="S100" s="350"/>
      <c r="T100" s="356"/>
      <c r="U100" s="350"/>
      <c r="V100" s="350"/>
      <c r="W100" s="350"/>
      <c r="X100" s="350"/>
      <c r="Y100" s="358"/>
      <c r="Z100" s="358"/>
      <c r="AA100" s="359"/>
      <c r="AB100" s="359"/>
      <c r="AC100" s="359"/>
      <c r="AD100" s="359"/>
      <c r="AE100" s="359"/>
      <c r="AF100" s="359"/>
      <c r="AG100" s="359"/>
      <c r="AH100" s="252"/>
      <c r="AI100" s="300"/>
      <c r="AJ100" s="262"/>
      <c r="AK100" s="309"/>
      <c r="AL100" s="256"/>
      <c r="AM100" s="360"/>
      <c r="AN100" s="360"/>
      <c r="AO100" s="346"/>
      <c r="AP100" s="257"/>
    </row>
    <row r="101" spans="1:42" s="44" customFormat="1" ht="17.5">
      <c r="A101" s="61">
        <v>100</v>
      </c>
      <c r="B101" s="252"/>
      <c r="C101" s="253"/>
      <c r="D101" s="254"/>
      <c r="E101" s="265"/>
      <c r="F101" s="255"/>
      <c r="G101" s="256"/>
      <c r="H101" s="257"/>
      <c r="I101" s="258"/>
      <c r="J101" s="258"/>
      <c r="K101" s="258"/>
      <c r="L101" s="258"/>
      <c r="M101" s="258"/>
      <c r="N101" s="258"/>
      <c r="O101" s="258"/>
      <c r="P101" s="253"/>
      <c r="Q101" s="252"/>
      <c r="R101" s="253"/>
      <c r="S101" s="253"/>
      <c r="T101" s="260"/>
      <c r="U101" s="253"/>
      <c r="V101" s="253"/>
      <c r="W101" s="253"/>
      <c r="X101" s="253"/>
      <c r="Y101" s="358"/>
      <c r="Z101" s="358"/>
      <c r="AA101" s="359"/>
      <c r="AB101" s="359"/>
      <c r="AC101" s="359"/>
      <c r="AD101" s="359"/>
      <c r="AE101" s="359"/>
      <c r="AF101" s="359"/>
      <c r="AG101" s="359"/>
      <c r="AH101" s="252"/>
      <c r="AI101" s="300"/>
      <c r="AJ101" s="262"/>
      <c r="AK101" s="309"/>
      <c r="AL101" s="256"/>
      <c r="AM101" s="360"/>
      <c r="AN101" s="360"/>
      <c r="AO101" s="346"/>
      <c r="AP101" s="257"/>
    </row>
    <row r="102" spans="1:42" s="44" customFormat="1" ht="17.5">
      <c r="A102" s="61">
        <v>101</v>
      </c>
      <c r="B102" s="349"/>
      <c r="C102" s="350"/>
      <c r="D102" s="274"/>
      <c r="E102" s="274"/>
      <c r="F102" s="361"/>
      <c r="G102" s="352"/>
      <c r="H102" s="353"/>
      <c r="I102" s="354"/>
      <c r="J102" s="354"/>
      <c r="K102" s="354"/>
      <c r="L102" s="354"/>
      <c r="M102" s="354"/>
      <c r="N102" s="354"/>
      <c r="O102" s="354"/>
      <c r="P102" s="350"/>
      <c r="Q102" s="349"/>
      <c r="R102" s="350"/>
      <c r="S102" s="350"/>
      <c r="T102" s="356"/>
      <c r="U102" s="350"/>
      <c r="V102" s="350"/>
      <c r="W102" s="350"/>
      <c r="X102" s="350"/>
      <c r="Y102" s="358"/>
      <c r="Z102" s="358"/>
      <c r="AA102" s="359"/>
      <c r="AB102" s="359"/>
      <c r="AC102" s="359"/>
      <c r="AD102" s="359"/>
      <c r="AE102" s="359"/>
      <c r="AF102" s="359"/>
      <c r="AG102" s="359"/>
      <c r="AH102" s="252"/>
      <c r="AI102" s="300"/>
      <c r="AJ102" s="262"/>
      <c r="AK102" s="309"/>
      <c r="AL102" s="256"/>
      <c r="AM102" s="360"/>
      <c r="AN102" s="360"/>
      <c r="AO102" s="346"/>
      <c r="AP102" s="257"/>
    </row>
    <row r="103" spans="1:42" s="44" customFormat="1" ht="17.5">
      <c r="A103" s="61">
        <v>102</v>
      </c>
      <c r="B103" s="252"/>
      <c r="C103" s="253"/>
      <c r="D103" s="254"/>
      <c r="E103" s="265"/>
      <c r="F103" s="255"/>
      <c r="G103" s="256"/>
      <c r="H103" s="257"/>
      <c r="I103" s="258"/>
      <c r="J103" s="258"/>
      <c r="K103" s="258"/>
      <c r="L103" s="258"/>
      <c r="M103" s="258"/>
      <c r="N103" s="258"/>
      <c r="O103" s="258"/>
      <c r="P103" s="253"/>
      <c r="Q103" s="252"/>
      <c r="R103" s="253"/>
      <c r="S103" s="253"/>
      <c r="T103" s="260"/>
      <c r="U103" s="253"/>
      <c r="V103" s="253"/>
      <c r="W103" s="253"/>
      <c r="X103" s="253"/>
      <c r="Y103" s="358"/>
      <c r="Z103" s="358"/>
      <c r="AA103" s="359"/>
      <c r="AB103" s="359"/>
      <c r="AC103" s="359"/>
      <c r="AD103" s="359"/>
      <c r="AE103" s="359"/>
      <c r="AF103" s="359"/>
      <c r="AG103" s="359"/>
      <c r="AH103" s="252"/>
      <c r="AI103" s="300"/>
      <c r="AJ103" s="262"/>
      <c r="AK103" s="309"/>
      <c r="AL103" s="256"/>
      <c r="AM103" s="360"/>
      <c r="AN103" s="360"/>
      <c r="AO103" s="346"/>
      <c r="AP103" s="257"/>
    </row>
    <row r="104" spans="1:42" s="44" customFormat="1" ht="17.5">
      <c r="A104" s="61">
        <v>103</v>
      </c>
      <c r="B104" s="349"/>
      <c r="C104" s="350"/>
      <c r="D104" s="274"/>
      <c r="E104" s="274"/>
      <c r="F104" s="361"/>
      <c r="G104" s="352"/>
      <c r="H104" s="353"/>
      <c r="I104" s="354"/>
      <c r="J104" s="354"/>
      <c r="K104" s="354"/>
      <c r="L104" s="354"/>
      <c r="M104" s="354"/>
      <c r="N104" s="354"/>
      <c r="O104" s="354"/>
      <c r="P104" s="350"/>
      <c r="Q104" s="349"/>
      <c r="R104" s="350"/>
      <c r="S104" s="350"/>
      <c r="T104" s="356"/>
      <c r="U104" s="350"/>
      <c r="V104" s="350"/>
      <c r="W104" s="350"/>
      <c r="X104" s="350"/>
      <c r="Y104" s="358"/>
      <c r="Z104" s="358"/>
      <c r="AA104" s="359"/>
      <c r="AB104" s="359"/>
      <c r="AC104" s="359"/>
      <c r="AD104" s="359"/>
      <c r="AE104" s="359"/>
      <c r="AF104" s="359"/>
      <c r="AG104" s="359"/>
      <c r="AH104" s="252"/>
      <c r="AI104" s="300"/>
      <c r="AJ104" s="262"/>
      <c r="AK104" s="309"/>
      <c r="AL104" s="256"/>
      <c r="AM104" s="360"/>
      <c r="AN104" s="360"/>
      <c r="AO104" s="346"/>
      <c r="AP104" s="257"/>
    </row>
    <row r="105" spans="1:42" s="44" customFormat="1" ht="17.5">
      <c r="A105" s="61">
        <v>104</v>
      </c>
      <c r="B105" s="252"/>
      <c r="C105" s="253"/>
      <c r="D105" s="254"/>
      <c r="E105" s="265"/>
      <c r="F105" s="255"/>
      <c r="G105" s="256"/>
      <c r="H105" s="257"/>
      <c r="I105" s="258"/>
      <c r="J105" s="258"/>
      <c r="K105" s="258"/>
      <c r="L105" s="258"/>
      <c r="M105" s="258"/>
      <c r="N105" s="258"/>
      <c r="O105" s="258"/>
      <c r="P105" s="253"/>
      <c r="Q105" s="252"/>
      <c r="R105" s="253"/>
      <c r="S105" s="253"/>
      <c r="T105" s="260"/>
      <c r="U105" s="253"/>
      <c r="V105" s="253"/>
      <c r="W105" s="253"/>
      <c r="X105" s="253"/>
      <c r="Y105" s="358"/>
      <c r="Z105" s="358"/>
      <c r="AA105" s="359"/>
      <c r="AB105" s="359"/>
      <c r="AC105" s="359"/>
      <c r="AD105" s="359"/>
      <c r="AE105" s="359"/>
      <c r="AF105" s="359"/>
      <c r="AG105" s="359"/>
      <c r="AH105" s="252"/>
      <c r="AI105" s="300"/>
      <c r="AJ105" s="262"/>
      <c r="AK105" s="309"/>
      <c r="AL105" s="256"/>
      <c r="AM105" s="360"/>
      <c r="AN105" s="360"/>
      <c r="AO105" s="346"/>
      <c r="AP105" s="257"/>
    </row>
    <row r="106" spans="1:42" s="44" customFormat="1" ht="17.5">
      <c r="A106" s="61">
        <v>105</v>
      </c>
      <c r="B106" s="349"/>
      <c r="C106" s="350"/>
      <c r="D106" s="274"/>
      <c r="E106" s="274"/>
      <c r="F106" s="361"/>
      <c r="G106" s="352"/>
      <c r="H106" s="353"/>
      <c r="I106" s="354"/>
      <c r="J106" s="354"/>
      <c r="K106" s="354"/>
      <c r="L106" s="354"/>
      <c r="M106" s="354"/>
      <c r="N106" s="354"/>
      <c r="O106" s="354"/>
      <c r="P106" s="350"/>
      <c r="Q106" s="349"/>
      <c r="R106" s="350"/>
      <c r="S106" s="350"/>
      <c r="T106" s="356"/>
      <c r="U106" s="350"/>
      <c r="V106" s="350"/>
      <c r="W106" s="350"/>
      <c r="X106" s="350"/>
      <c r="Y106" s="358"/>
      <c r="Z106" s="358"/>
      <c r="AA106" s="359"/>
      <c r="AB106" s="359"/>
      <c r="AC106" s="359"/>
      <c r="AD106" s="359"/>
      <c r="AE106" s="359"/>
      <c r="AF106" s="359"/>
      <c r="AG106" s="359"/>
      <c r="AH106" s="252"/>
      <c r="AI106" s="300"/>
      <c r="AJ106" s="262"/>
      <c r="AK106" s="309"/>
      <c r="AL106" s="256"/>
      <c r="AM106" s="360"/>
      <c r="AN106" s="360"/>
      <c r="AO106" s="346"/>
      <c r="AP106" s="257"/>
    </row>
    <row r="107" spans="1:42" s="43" customFormat="1" ht="17.5">
      <c r="A107" s="61">
        <v>106</v>
      </c>
      <c r="B107" s="362"/>
      <c r="C107" s="284"/>
      <c r="D107" s="265"/>
      <c r="E107" s="265"/>
      <c r="F107" s="363"/>
      <c r="G107" s="286"/>
      <c r="H107" s="345"/>
      <c r="I107" s="288"/>
      <c r="J107" s="288"/>
      <c r="K107" s="288"/>
      <c r="L107" s="288"/>
      <c r="M107" s="288"/>
      <c r="N107" s="288"/>
      <c r="O107" s="288"/>
      <c r="P107" s="284"/>
      <c r="Q107" s="362"/>
      <c r="R107" s="284"/>
      <c r="S107" s="284"/>
      <c r="T107" s="364"/>
      <c r="U107" s="284"/>
      <c r="V107" s="284"/>
      <c r="W107" s="284"/>
      <c r="X107" s="284"/>
      <c r="Y107" s="268"/>
      <c r="Z107" s="268"/>
      <c r="AA107" s="269"/>
      <c r="AB107" s="269"/>
      <c r="AC107" s="269"/>
      <c r="AD107" s="269"/>
      <c r="AE107" s="269"/>
      <c r="AF107" s="269"/>
      <c r="AG107" s="269"/>
      <c r="AH107" s="284"/>
      <c r="AI107" s="285"/>
      <c r="AJ107" s="262"/>
      <c r="AK107" s="14"/>
      <c r="AL107" s="286"/>
      <c r="AM107" s="263"/>
      <c r="AN107" s="263"/>
      <c r="AO107" s="344"/>
      <c r="AP107" s="345"/>
    </row>
    <row r="108" spans="1:42" ht="14" customHeight="1">
      <c r="AO108" s="48"/>
      <c r="AP108" s="48"/>
    </row>
    <row r="109" spans="1:42" ht="14" customHeight="1">
      <c r="AO109" s="48"/>
      <c r="AP109" s="48"/>
    </row>
    <row r="110" spans="1:42" ht="14" customHeight="1">
      <c r="AO110" s="48"/>
      <c r="AP110" s="48"/>
    </row>
    <row r="111" spans="1:42" ht="14" customHeight="1">
      <c r="AO111" s="48"/>
      <c r="AP111" s="48"/>
    </row>
    <row r="112" spans="1:42" ht="14" customHeight="1">
      <c r="AO112" s="48"/>
      <c r="AP112" s="48"/>
    </row>
    <row r="113" spans="41:42" ht="14" customHeight="1">
      <c r="AO113" s="48"/>
      <c r="AP113" s="48"/>
    </row>
    <row r="114" spans="41:42" ht="14" customHeight="1">
      <c r="AO114" s="48"/>
      <c r="AP114" s="48"/>
    </row>
    <row r="115" spans="41:42" ht="14" customHeight="1">
      <c r="AO115" s="48"/>
      <c r="AP115" s="48"/>
    </row>
    <row r="116" spans="41:42" ht="14" customHeight="1">
      <c r="AO116" s="48"/>
      <c r="AP116" s="48"/>
    </row>
    <row r="117" spans="41:42" ht="14" customHeight="1">
      <c r="AO117" s="48"/>
      <c r="AP117" s="48"/>
    </row>
    <row r="118" spans="41:42" ht="14" customHeight="1">
      <c r="AO118" s="48"/>
      <c r="AP118" s="48"/>
    </row>
    <row r="119" spans="41:42" ht="14" customHeight="1">
      <c r="AO119" s="48"/>
      <c r="AP119" s="48"/>
    </row>
    <row r="120" spans="41:42" ht="14" customHeight="1">
      <c r="AO120" s="48"/>
      <c r="AP120" s="48"/>
    </row>
    <row r="121" spans="41:42" ht="14" customHeight="1">
      <c r="AO121" s="48"/>
      <c r="AP121" s="48"/>
    </row>
    <row r="122" spans="41:42" ht="14" customHeight="1">
      <c r="AO122" s="48"/>
      <c r="AP122" s="48"/>
    </row>
    <row r="123" spans="41:42" ht="14" customHeight="1">
      <c r="AO123" s="48"/>
      <c r="AP123" s="48"/>
    </row>
    <row r="124" spans="41:42" ht="14" customHeight="1">
      <c r="AO124" s="48"/>
      <c r="AP124" s="48"/>
    </row>
    <row r="125" spans="41:42" ht="14" customHeight="1">
      <c r="AO125" s="48"/>
      <c r="AP125" s="48"/>
    </row>
    <row r="126" spans="41:42" ht="14" customHeight="1">
      <c r="AO126" s="48"/>
      <c r="AP126" s="48"/>
    </row>
    <row r="127" spans="41:42" ht="14" customHeight="1">
      <c r="AO127" s="48"/>
      <c r="AP127" s="48"/>
    </row>
    <row r="128" spans="41:42" ht="14" customHeight="1">
      <c r="AO128" s="48"/>
      <c r="AP128" s="48"/>
    </row>
    <row r="129" spans="41:42" ht="14" customHeight="1">
      <c r="AO129" s="48"/>
      <c r="AP129" s="48"/>
    </row>
    <row r="130" spans="41:42" ht="14" customHeight="1">
      <c r="AO130" s="48"/>
      <c r="AP130" s="48"/>
    </row>
    <row r="131" spans="41:42" ht="14" customHeight="1">
      <c r="AO131" s="48"/>
      <c r="AP131" s="48"/>
    </row>
    <row r="132" spans="41:42" ht="14" customHeight="1">
      <c r="AO132" s="48"/>
      <c r="AP132" s="48"/>
    </row>
    <row r="133" spans="41:42" ht="14" customHeight="1">
      <c r="AO133" s="48"/>
      <c r="AP133" s="48"/>
    </row>
    <row r="134" spans="41:42" ht="14" customHeight="1">
      <c r="AO134" s="48"/>
      <c r="AP134" s="48"/>
    </row>
    <row r="135" spans="41:42" ht="14" customHeight="1">
      <c r="AO135" s="48"/>
      <c r="AP135" s="48"/>
    </row>
    <row r="136" spans="41:42" ht="14" customHeight="1">
      <c r="AO136" s="48"/>
      <c r="AP136" s="48"/>
    </row>
    <row r="137" spans="41:42" ht="14" customHeight="1">
      <c r="AO137" s="48"/>
      <c r="AP137" s="48"/>
    </row>
    <row r="138" spans="41:42" ht="14" customHeight="1">
      <c r="AO138" s="48"/>
      <c r="AP138" s="48"/>
    </row>
    <row r="139" spans="41:42" ht="14" customHeight="1">
      <c r="AO139" s="48"/>
      <c r="AP139" s="48"/>
    </row>
    <row r="140" spans="41:42" ht="14" customHeight="1">
      <c r="AO140" s="48"/>
      <c r="AP140" s="48"/>
    </row>
    <row r="141" spans="41:42" ht="14" customHeight="1">
      <c r="AO141" s="48"/>
      <c r="AP141" s="48"/>
    </row>
    <row r="142" spans="41:42" ht="14" customHeight="1">
      <c r="AO142" s="48"/>
      <c r="AP142" s="48"/>
    </row>
    <row r="143" spans="41:42" ht="14" customHeight="1">
      <c r="AO143" s="48"/>
      <c r="AP143" s="48"/>
    </row>
    <row r="144" spans="41:42" ht="14" customHeight="1">
      <c r="AO144" s="48"/>
      <c r="AP144" s="48"/>
    </row>
    <row r="145" spans="41:42" ht="14" customHeight="1">
      <c r="AO145" s="48"/>
      <c r="AP145" s="48"/>
    </row>
    <row r="146" spans="41:42" ht="14" customHeight="1">
      <c r="AO146" s="48"/>
      <c r="AP146" s="48"/>
    </row>
    <row r="147" spans="41:42" ht="14" customHeight="1">
      <c r="AO147" s="48"/>
      <c r="AP147" s="48"/>
    </row>
    <row r="148" spans="41:42" ht="14" customHeight="1">
      <c r="AO148" s="48"/>
      <c r="AP148" s="48"/>
    </row>
    <row r="149" spans="41:42" ht="14" customHeight="1">
      <c r="AO149" s="48"/>
      <c r="AP149" s="48"/>
    </row>
    <row r="150" spans="41:42" ht="14" customHeight="1">
      <c r="AO150" s="48"/>
      <c r="AP150" s="48"/>
    </row>
    <row r="151" spans="41:42" ht="14" customHeight="1">
      <c r="AO151" s="48"/>
      <c r="AP151" s="48"/>
    </row>
    <row r="152" spans="41:42" ht="14" customHeight="1">
      <c r="AO152" s="48"/>
      <c r="AP152" s="48"/>
    </row>
    <row r="153" spans="41:42" ht="14" customHeight="1">
      <c r="AO153" s="48"/>
      <c r="AP153" s="48"/>
    </row>
    <row r="154" spans="41:42" ht="14" customHeight="1">
      <c r="AO154" s="48"/>
      <c r="AP154" s="48"/>
    </row>
    <row r="155" spans="41:42" ht="14" customHeight="1">
      <c r="AO155" s="48"/>
      <c r="AP155" s="48"/>
    </row>
    <row r="156" spans="41:42" ht="14" customHeight="1">
      <c r="AO156" s="48"/>
      <c r="AP156" s="48"/>
    </row>
    <row r="157" spans="41:42" ht="14" customHeight="1">
      <c r="AO157" s="48"/>
      <c r="AP157" s="48"/>
    </row>
    <row r="158" spans="41:42" ht="14" customHeight="1">
      <c r="AO158" s="48"/>
      <c r="AP158" s="48"/>
    </row>
    <row r="159" spans="41:42" ht="14" customHeight="1">
      <c r="AO159" s="48"/>
      <c r="AP159" s="48"/>
    </row>
    <row r="160" spans="41:42" ht="14" customHeight="1">
      <c r="AO160" s="48"/>
      <c r="AP160" s="48"/>
    </row>
    <row r="161" spans="41:42" ht="14" customHeight="1">
      <c r="AO161" s="48"/>
      <c r="AP161" s="48"/>
    </row>
    <row r="162" spans="41:42" ht="14" customHeight="1">
      <c r="AO162" s="48"/>
      <c r="AP162" s="48"/>
    </row>
    <row r="163" spans="41:42" ht="14" customHeight="1">
      <c r="AO163" s="48"/>
      <c r="AP163" s="48"/>
    </row>
    <row r="164" spans="41:42" ht="14" customHeight="1">
      <c r="AO164" s="48"/>
      <c r="AP164" s="48"/>
    </row>
    <row r="165" spans="41:42" ht="14" customHeight="1">
      <c r="AO165" s="48"/>
      <c r="AP165" s="48"/>
    </row>
    <row r="166" spans="41:42" ht="14" customHeight="1">
      <c r="AO166" s="48"/>
      <c r="AP166" s="48"/>
    </row>
    <row r="167" spans="41:42" ht="14" customHeight="1">
      <c r="AO167" s="48"/>
      <c r="AP167" s="48"/>
    </row>
    <row r="168" spans="41:42" ht="14" customHeight="1">
      <c r="AO168" s="48"/>
      <c r="AP168" s="48"/>
    </row>
    <row r="169" spans="41:42" ht="14" customHeight="1">
      <c r="AO169" s="48"/>
      <c r="AP169" s="48"/>
    </row>
    <row r="170" spans="41:42" ht="14" customHeight="1">
      <c r="AO170" s="48"/>
      <c r="AP170" s="48"/>
    </row>
    <row r="171" spans="41:42" ht="14" customHeight="1">
      <c r="AO171" s="48"/>
      <c r="AP171" s="48"/>
    </row>
    <row r="172" spans="41:42" ht="14" customHeight="1">
      <c r="AO172" s="48"/>
      <c r="AP172" s="48"/>
    </row>
    <row r="173" spans="41:42" ht="14" customHeight="1">
      <c r="AO173" s="48"/>
      <c r="AP173" s="48"/>
    </row>
    <row r="174" spans="41:42" ht="14" customHeight="1">
      <c r="AO174" s="48"/>
      <c r="AP174" s="48"/>
    </row>
    <row r="175" spans="41:42" ht="14" customHeight="1">
      <c r="AO175" s="48"/>
      <c r="AP175" s="48"/>
    </row>
    <row r="176" spans="41:42" ht="14" customHeight="1">
      <c r="AO176" s="48"/>
      <c r="AP176" s="48"/>
    </row>
    <row r="177" spans="41:42" ht="14" customHeight="1">
      <c r="AO177" s="48"/>
      <c r="AP177" s="48"/>
    </row>
    <row r="178" spans="41:42" ht="14" customHeight="1">
      <c r="AO178" s="48"/>
      <c r="AP178" s="48"/>
    </row>
    <row r="179" spans="41:42" ht="14" customHeight="1">
      <c r="AO179" s="48"/>
      <c r="AP179" s="48"/>
    </row>
    <row r="180" spans="41:42" ht="14" customHeight="1">
      <c r="AO180" s="48"/>
      <c r="AP180" s="48"/>
    </row>
    <row r="181" spans="41:42" ht="14" customHeight="1">
      <c r="AO181" s="48"/>
      <c r="AP181" s="48"/>
    </row>
    <row r="182" spans="41:42" ht="14" customHeight="1">
      <c r="AO182" s="48"/>
      <c r="AP182" s="48"/>
    </row>
    <row r="183" spans="41:42" ht="14" customHeight="1">
      <c r="AO183" s="48"/>
      <c r="AP183" s="48"/>
    </row>
    <row r="184" spans="41:42" ht="14" customHeight="1">
      <c r="AO184" s="48"/>
      <c r="AP184" s="48"/>
    </row>
    <row r="185" spans="41:42" ht="14" customHeight="1">
      <c r="AO185" s="48"/>
      <c r="AP185" s="48"/>
    </row>
    <row r="186" spans="41:42" ht="14" customHeight="1">
      <c r="AO186" s="48"/>
      <c r="AP186" s="48"/>
    </row>
    <row r="187" spans="41:42" ht="14" customHeight="1">
      <c r="AO187" s="48"/>
      <c r="AP187" s="48"/>
    </row>
    <row r="188" spans="41:42" ht="14" customHeight="1">
      <c r="AO188" s="48"/>
      <c r="AP188" s="48"/>
    </row>
    <row r="189" spans="41:42" ht="14" customHeight="1">
      <c r="AO189" s="48"/>
      <c r="AP189" s="48"/>
    </row>
    <row r="190" spans="41:42" ht="14" customHeight="1">
      <c r="AO190" s="48"/>
      <c r="AP190" s="48"/>
    </row>
    <row r="191" spans="41:42" ht="14" customHeight="1">
      <c r="AO191" s="48"/>
      <c r="AP191" s="48"/>
    </row>
    <row r="192" spans="41:42" ht="14" customHeight="1">
      <c r="AO192" s="48"/>
      <c r="AP192" s="48"/>
    </row>
    <row r="193" spans="41:42" ht="14" customHeight="1">
      <c r="AO193" s="48"/>
      <c r="AP193" s="48"/>
    </row>
    <row r="194" spans="41:42" ht="14" customHeight="1">
      <c r="AO194" s="48"/>
      <c r="AP194" s="48"/>
    </row>
    <row r="195" spans="41:42" ht="14" customHeight="1">
      <c r="AO195" s="48"/>
      <c r="AP195" s="48"/>
    </row>
    <row r="196" spans="41:42" ht="14" customHeight="1">
      <c r="AO196" s="48"/>
      <c r="AP196" s="48"/>
    </row>
    <row r="197" spans="41:42" ht="14" customHeight="1">
      <c r="AO197" s="48"/>
      <c r="AP197" s="48"/>
    </row>
    <row r="198" spans="41:42" ht="14" customHeight="1">
      <c r="AO198" s="48"/>
      <c r="AP198" s="48"/>
    </row>
    <row r="199" spans="41:42" ht="14" customHeight="1">
      <c r="AO199" s="48"/>
      <c r="AP199" s="48"/>
    </row>
    <row r="200" spans="41:42" ht="14" customHeight="1">
      <c r="AO200" s="48"/>
      <c r="AP200" s="48"/>
    </row>
    <row r="201" spans="41:42" ht="14" customHeight="1">
      <c r="AO201" s="48"/>
      <c r="AP201" s="48"/>
    </row>
    <row r="202" spans="41:42" ht="14" customHeight="1">
      <c r="AO202" s="48"/>
      <c r="AP202" s="48"/>
    </row>
    <row r="203" spans="41:42" ht="14" customHeight="1">
      <c r="AO203" s="48"/>
      <c r="AP203" s="48"/>
    </row>
    <row r="204" spans="41:42" ht="14" customHeight="1">
      <c r="AO204" s="48"/>
      <c r="AP204" s="48"/>
    </row>
    <row r="205" spans="41:42" ht="14" customHeight="1">
      <c r="AO205" s="48"/>
      <c r="AP205" s="48"/>
    </row>
    <row r="206" spans="41:42" ht="14" customHeight="1">
      <c r="AO206" s="48"/>
      <c r="AP206" s="48"/>
    </row>
    <row r="207" spans="41:42" ht="14" customHeight="1">
      <c r="AO207" s="48"/>
      <c r="AP207" s="48"/>
    </row>
    <row r="208" spans="41:42" ht="14" customHeight="1">
      <c r="AO208" s="48"/>
      <c r="AP208" s="48"/>
    </row>
    <row r="209" spans="41:42" ht="14" customHeight="1">
      <c r="AO209" s="48"/>
      <c r="AP209" s="48"/>
    </row>
    <row r="210" spans="41:42" ht="14" customHeight="1">
      <c r="AO210" s="48"/>
      <c r="AP210" s="48"/>
    </row>
    <row r="211" spans="41:42" ht="14" customHeight="1">
      <c r="AO211" s="48"/>
      <c r="AP211" s="48"/>
    </row>
    <row r="212" spans="41:42" ht="14" customHeight="1">
      <c r="AO212" s="48"/>
      <c r="AP212" s="48"/>
    </row>
    <row r="213" spans="41:42" ht="14" customHeight="1">
      <c r="AO213" s="48"/>
      <c r="AP213" s="48"/>
    </row>
    <row r="214" spans="41:42" ht="14" customHeight="1">
      <c r="AO214" s="48"/>
      <c r="AP214" s="48"/>
    </row>
    <row r="215" spans="41:42" ht="14" customHeight="1">
      <c r="AO215" s="48"/>
      <c r="AP215" s="48"/>
    </row>
    <row r="216" spans="41:42" ht="14" customHeight="1">
      <c r="AO216" s="48"/>
      <c r="AP216" s="48"/>
    </row>
    <row r="217" spans="41:42" ht="14" customHeight="1">
      <c r="AO217" s="48"/>
      <c r="AP217" s="48"/>
    </row>
    <row r="218" spans="41:42" ht="14" customHeight="1">
      <c r="AO218" s="48"/>
      <c r="AP218" s="48"/>
    </row>
    <row r="219" spans="41:42" ht="14" customHeight="1">
      <c r="AO219" s="48"/>
      <c r="AP219" s="48"/>
    </row>
    <row r="220" spans="41:42" ht="14" customHeight="1">
      <c r="AO220" s="48"/>
      <c r="AP220" s="48"/>
    </row>
    <row r="221" spans="41:42" ht="14" customHeight="1">
      <c r="AO221" s="48"/>
      <c r="AP221" s="48"/>
    </row>
    <row r="222" spans="41:42" ht="14" customHeight="1">
      <c r="AO222" s="48"/>
      <c r="AP222" s="48"/>
    </row>
    <row r="223" spans="41:42" ht="14" customHeight="1">
      <c r="AO223" s="48"/>
      <c r="AP223" s="48"/>
    </row>
    <row r="224" spans="41:42" ht="14" customHeight="1">
      <c r="AO224" s="48"/>
      <c r="AP224" s="48"/>
    </row>
    <row r="225" spans="41:42" ht="14" customHeight="1">
      <c r="AO225" s="48"/>
      <c r="AP225" s="48"/>
    </row>
    <row r="226" spans="41:42" ht="14" customHeight="1">
      <c r="AO226" s="48"/>
      <c r="AP226" s="48"/>
    </row>
    <row r="227" spans="41:42" ht="14" customHeight="1">
      <c r="AO227" s="48"/>
      <c r="AP227" s="48"/>
    </row>
    <row r="228" spans="41:42" ht="14" customHeight="1">
      <c r="AO228" s="48"/>
      <c r="AP228" s="48"/>
    </row>
    <row r="229" spans="41:42" ht="14" customHeight="1">
      <c r="AO229" s="48"/>
      <c r="AP229" s="48"/>
    </row>
  </sheetData>
  <autoFilter ref="A1:AP107" xr:uid="{00000000-0009-0000-0000-000000000000}"/>
  <sortState xmlns:xlrd2="http://schemas.microsoft.com/office/spreadsheetml/2017/richdata2" ref="A2:AP107">
    <sortCondition ref="Q8"/>
  </sortState>
  <phoneticPr fontId="30" type="noConversion"/>
  <conditionalFormatting sqref="C68">
    <cfRule type="duplicateValues" dxfId="48" priority="39" stopIfTrue="1"/>
  </conditionalFormatting>
  <conditionalFormatting sqref="D78:D84 D86:D107">
    <cfRule type="duplicateValues" dxfId="47" priority="11" stopIfTrue="1"/>
  </conditionalFormatting>
  <conditionalFormatting sqref="D85">
    <cfRule type="duplicateValues" dxfId="46" priority="5" stopIfTrue="1"/>
  </conditionalFormatting>
  <conditionalFormatting sqref="E68">
    <cfRule type="duplicateValues" dxfId="45" priority="40" stopIfTrue="1"/>
  </conditionalFormatting>
  <conditionalFormatting sqref="E70">
    <cfRule type="duplicateValues" dxfId="44" priority="22" stopIfTrue="1"/>
  </conditionalFormatting>
  <conditionalFormatting sqref="E72">
    <cfRule type="duplicateValues" dxfId="43" priority="21" stopIfTrue="1"/>
  </conditionalFormatting>
  <conditionalFormatting sqref="E74">
    <cfRule type="duplicateValues" dxfId="42" priority="20" stopIfTrue="1"/>
  </conditionalFormatting>
  <conditionalFormatting sqref="E77">
    <cfRule type="duplicateValues" dxfId="41" priority="18" stopIfTrue="1"/>
  </conditionalFormatting>
  <conditionalFormatting sqref="E78:E83 E90:E107">
    <cfRule type="duplicateValues" dxfId="40" priority="13" stopIfTrue="1"/>
  </conditionalFormatting>
  <conditionalFormatting sqref="F1">
    <cfRule type="duplicateValues" dxfId="39" priority="42"/>
  </conditionalFormatting>
  <conditionalFormatting sqref="F2:F24">
    <cfRule type="duplicateValues" dxfId="38" priority="71"/>
  </conditionalFormatting>
  <conditionalFormatting sqref="F25">
    <cfRule type="duplicateValues" dxfId="37" priority="48"/>
  </conditionalFormatting>
  <conditionalFormatting sqref="F44 F46">
    <cfRule type="duplicateValues" dxfId="36" priority="47"/>
  </conditionalFormatting>
  <conditionalFormatting sqref="F48:F50 F52:F53 F55">
    <cfRule type="duplicateValues" dxfId="35" priority="46"/>
  </conditionalFormatting>
  <conditionalFormatting sqref="F51">
    <cfRule type="duplicateValues" dxfId="34" priority="45"/>
  </conditionalFormatting>
  <conditionalFormatting sqref="F70:F72">
    <cfRule type="duplicateValues" dxfId="33" priority="34" stopIfTrue="1"/>
  </conditionalFormatting>
  <conditionalFormatting sqref="F73">
    <cfRule type="duplicateValues" dxfId="32" priority="31" stopIfTrue="1"/>
  </conditionalFormatting>
  <conditionalFormatting sqref="F74">
    <cfRule type="duplicateValues" dxfId="31" priority="25" stopIfTrue="1"/>
  </conditionalFormatting>
  <conditionalFormatting sqref="H2">
    <cfRule type="duplicateValues" dxfId="30" priority="61" stopIfTrue="1"/>
  </conditionalFormatting>
  <conditionalFormatting sqref="H3">
    <cfRule type="duplicateValues" dxfId="29" priority="60" stopIfTrue="1"/>
  </conditionalFormatting>
  <conditionalFormatting sqref="H4:H5">
    <cfRule type="duplicateValues" dxfId="28" priority="59" stopIfTrue="1"/>
  </conditionalFormatting>
  <conditionalFormatting sqref="H6">
    <cfRule type="duplicateValues" dxfId="27" priority="53" stopIfTrue="1"/>
  </conditionalFormatting>
  <conditionalFormatting sqref="H7">
    <cfRule type="duplicateValues" dxfId="26" priority="58" stopIfTrue="1"/>
  </conditionalFormatting>
  <conditionalFormatting sqref="H8">
    <cfRule type="duplicateValues" dxfId="25" priority="57" stopIfTrue="1"/>
  </conditionalFormatting>
  <conditionalFormatting sqref="H9">
    <cfRule type="duplicateValues" dxfId="24" priority="56" stopIfTrue="1"/>
  </conditionalFormatting>
  <conditionalFormatting sqref="H10:H11">
    <cfRule type="duplicateValues" dxfId="23" priority="54" stopIfTrue="1"/>
  </conditionalFormatting>
  <conditionalFormatting sqref="H68">
    <cfRule type="duplicateValues" dxfId="22" priority="41" stopIfTrue="1"/>
  </conditionalFormatting>
  <conditionalFormatting sqref="H70:H72">
    <cfRule type="duplicateValues" dxfId="21" priority="23" stopIfTrue="1"/>
  </conditionalFormatting>
  <conditionalFormatting sqref="H77">
    <cfRule type="duplicateValues" dxfId="20" priority="16" stopIfTrue="1"/>
  </conditionalFormatting>
  <conditionalFormatting sqref="H78:H80 H83 H90:H91 H93:H107">
    <cfRule type="duplicateValues" dxfId="19" priority="12" stopIfTrue="1"/>
  </conditionalFormatting>
  <conditionalFormatting sqref="H92">
    <cfRule type="duplicateValues" dxfId="18" priority="4" stopIfTrue="1"/>
  </conditionalFormatting>
  <conditionalFormatting sqref="I70:I74">
    <cfRule type="duplicateValues" dxfId="17" priority="74" stopIfTrue="1"/>
  </conditionalFormatting>
  <conditionalFormatting sqref="AL78:AL107">
    <cfRule type="containsText" dxfId="16" priority="1" operator="containsText" text="逾期">
      <formula>NOT(ISERROR(SEARCH("逾期",AL78)))</formula>
    </cfRule>
  </conditionalFormatting>
  <conditionalFormatting sqref="AM1:AM1048576">
    <cfRule type="containsText" dxfId="15" priority="2" operator="containsText" text="逾期">
      <formula>NOT(ISERROR(SEARCH("逾期",AM1)))</formula>
    </cfRule>
  </conditionalFormatting>
  <conditionalFormatting sqref="AN2:AN107">
    <cfRule type="containsText" dxfId="14" priority="3" operator="containsText" text="⚠️ ">
      <formula>NOT(ISERROR(SEARCH("⚠️ ",AN2)))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tabSelected="1" zoomScale="80" zoomScaleNormal="80" workbookViewId="0">
      <pane xSplit="4" ySplit="1" topLeftCell="Q9" activePane="bottomRight" state="frozen"/>
      <selection pane="topRight"/>
      <selection pane="bottomLeft"/>
      <selection pane="bottomRight" activeCell="T18" sqref="T18"/>
    </sheetView>
  </sheetViews>
  <sheetFormatPr defaultColWidth="9" defaultRowHeight="15.5"/>
  <cols>
    <col min="1" max="1" width="30.765625" style="1" customWidth="1"/>
    <col min="2" max="2" width="18.61328125" style="1" customWidth="1"/>
    <col min="3" max="3" width="15.4609375" customWidth="1"/>
    <col min="4" max="4" width="9.3046875" customWidth="1"/>
    <col min="5" max="5" width="12.61328125" customWidth="1"/>
    <col min="6" max="6" width="14.23046875" customWidth="1"/>
    <col min="7" max="7" width="15.4609375" customWidth="1"/>
    <col min="8" max="8" width="13.4609375" customWidth="1"/>
    <col min="9" max="9" width="16.3046875" customWidth="1"/>
    <col min="10" max="10" width="29.4609375" style="2" customWidth="1"/>
    <col min="11" max="11" width="12.921875" style="2" customWidth="1"/>
    <col min="12" max="12" width="9.3046875" customWidth="1"/>
    <col min="13" max="13" width="26.765625" customWidth="1"/>
    <col min="14" max="14" width="20.61328125" style="1" customWidth="1"/>
    <col min="15" max="15" width="20.15234375" customWidth="1"/>
    <col min="16" max="16" width="20.4609375" customWidth="1"/>
    <col min="17" max="17" width="16.4609375" customWidth="1"/>
    <col min="18" max="18" width="19.3828125" customWidth="1"/>
    <col min="19" max="19" width="22.23046875" customWidth="1"/>
    <col min="20" max="20" width="18.921875" customWidth="1"/>
    <col min="21" max="21" width="21" customWidth="1"/>
    <col min="22" max="22" width="14.07421875" customWidth="1"/>
    <col min="23" max="23" width="20.3046875" customWidth="1"/>
    <col min="24" max="24" width="23.69140625" customWidth="1"/>
    <col min="25" max="25" width="15.07421875" customWidth="1"/>
    <col min="26" max="26" width="15.07421875" style="3" customWidth="1"/>
    <col min="27" max="27" width="18.15234375" customWidth="1"/>
    <col min="28" max="28" width="18.84375" customWidth="1"/>
    <col min="29" max="29" width="16.07421875" style="2" customWidth="1"/>
  </cols>
  <sheetData>
    <row r="1" spans="1:29" ht="39">
      <c r="A1" s="4" t="s">
        <v>4</v>
      </c>
      <c r="B1" s="4" t="s">
        <v>5</v>
      </c>
      <c r="C1" s="5" t="s">
        <v>18</v>
      </c>
      <c r="D1" s="5" t="s">
        <v>308</v>
      </c>
      <c r="E1" s="5" t="s">
        <v>309</v>
      </c>
      <c r="F1" s="5" t="s">
        <v>310</v>
      </c>
      <c r="G1" s="5" t="s">
        <v>311</v>
      </c>
      <c r="H1" s="5" t="s">
        <v>312</v>
      </c>
      <c r="I1" s="4" t="s">
        <v>313</v>
      </c>
      <c r="J1" s="4" t="s">
        <v>314</v>
      </c>
      <c r="K1" s="6" t="s">
        <v>315</v>
      </c>
      <c r="L1" s="6" t="s">
        <v>316</v>
      </c>
      <c r="M1" s="4" t="s">
        <v>317</v>
      </c>
      <c r="N1" s="4" t="s">
        <v>318</v>
      </c>
      <c r="O1" s="4" t="s">
        <v>319</v>
      </c>
      <c r="P1" s="4" t="s">
        <v>320</v>
      </c>
      <c r="Q1" s="4" t="s">
        <v>321</v>
      </c>
      <c r="R1" s="4" t="s">
        <v>322</v>
      </c>
      <c r="S1" s="4" t="s">
        <v>323</v>
      </c>
      <c r="T1" s="5" t="s">
        <v>324</v>
      </c>
      <c r="U1" s="4" t="s">
        <v>325</v>
      </c>
      <c r="V1" s="7" t="s">
        <v>326</v>
      </c>
      <c r="Z1"/>
      <c r="AC1"/>
    </row>
    <row r="2" spans="1:29" ht="78">
      <c r="A2" s="8" t="s">
        <v>327</v>
      </c>
      <c r="B2" s="9" t="s">
        <v>328</v>
      </c>
      <c r="C2" s="10" t="e">
        <f>VLOOKUP(表2[[#This Row],[型号]],Sheet1!F:S,14,FALSE)</f>
        <v>#N/A</v>
      </c>
      <c r="D2" s="11">
        <v>1000</v>
      </c>
      <c r="E2" s="10">
        <v>46142</v>
      </c>
      <c r="F2" s="10">
        <v>46152</v>
      </c>
      <c r="G2" s="10">
        <v>46157</v>
      </c>
      <c r="H2" s="10" t="e">
        <f>VLOOKUP(表2[[#This Row],[型号]],Sheet1!F:M,8,FALSE)</f>
        <v>#N/A</v>
      </c>
      <c r="I2" s="10">
        <v>46122</v>
      </c>
      <c r="J2" s="12" t="s">
        <v>329</v>
      </c>
      <c r="K2" s="10" t="str">
        <f t="shared" ref="K2:K38" si="0">IF(AND(NOT(ISBLANK(I2)),NOT(ISNUMBER(SEARCH("预计",J2)))),"是","否")</f>
        <v>否</v>
      </c>
      <c r="L2" s="13" t="s">
        <v>330</v>
      </c>
      <c r="M2" s="10"/>
      <c r="N2" s="13"/>
      <c r="O2" s="13"/>
      <c r="P2" s="14"/>
      <c r="Q2" s="13"/>
      <c r="R2" s="15"/>
      <c r="S2" s="13"/>
      <c r="T2" s="13"/>
      <c r="U2" s="16"/>
      <c r="V2" s="17" t="s">
        <v>170</v>
      </c>
      <c r="Z2"/>
      <c r="AC2"/>
    </row>
    <row r="3" spans="1:29" ht="25" customHeight="1">
      <c r="A3" s="18" t="s">
        <v>282</v>
      </c>
      <c r="B3" s="10" t="s">
        <v>283</v>
      </c>
      <c r="C3" s="10">
        <f>VLOOKUP(表2[[#This Row],[型号]],Sheet1!F:S,14,FALSE)</f>
        <v>46141</v>
      </c>
      <c r="D3" s="11">
        <v>500</v>
      </c>
      <c r="E3" s="10"/>
      <c r="F3" s="10">
        <v>46162</v>
      </c>
      <c r="G3" s="10">
        <v>46162</v>
      </c>
      <c r="H3" s="10" t="str">
        <f>VLOOKUP(表2[[#This Row],[型号]],Sheet1!F:M,8,FALSE)</f>
        <v>/</v>
      </c>
      <c r="I3" s="10">
        <v>46129</v>
      </c>
      <c r="J3" s="10">
        <v>46157</v>
      </c>
      <c r="K3" s="10" t="str">
        <f t="shared" si="0"/>
        <v>是</v>
      </c>
      <c r="L3" s="19" t="s">
        <v>331</v>
      </c>
      <c r="M3" s="10"/>
      <c r="N3" s="20"/>
      <c r="O3" s="19" t="s">
        <v>331</v>
      </c>
      <c r="P3" s="19">
        <v>500</v>
      </c>
      <c r="Q3" s="20">
        <v>46164</v>
      </c>
      <c r="R3" s="21" t="s">
        <v>332</v>
      </c>
      <c r="S3" s="19"/>
      <c r="T3" s="19"/>
      <c r="U3" s="22"/>
      <c r="V3" s="17" t="str">
        <f>VLOOKUP(表2[[#This Row],[名称]],Sheet1!E:AK,33,FALSE)</f>
        <v>方宜海</v>
      </c>
      <c r="Z3"/>
      <c r="AC3"/>
    </row>
    <row r="4" spans="1:29" ht="34" customHeight="1">
      <c r="A4" s="18" t="s">
        <v>183</v>
      </c>
      <c r="B4" s="10" t="s">
        <v>184</v>
      </c>
      <c r="C4" s="10">
        <f>VLOOKUP(表2[[#This Row],[型号]],Sheet1!F:S,14,FALSE)</f>
        <v>46151</v>
      </c>
      <c r="D4" s="11">
        <v>500</v>
      </c>
      <c r="E4" s="10"/>
      <c r="F4" s="10"/>
      <c r="G4" s="10"/>
      <c r="H4" s="10">
        <f>VLOOKUP(表2[[#This Row],[型号]],Sheet1!F:M,8,FALSE)</f>
        <v>46264</v>
      </c>
      <c r="I4" s="10">
        <v>46149</v>
      </c>
      <c r="J4" s="12" t="s">
        <v>333</v>
      </c>
      <c r="K4" s="10" t="str">
        <f t="shared" si="0"/>
        <v>否</v>
      </c>
      <c r="L4" s="19"/>
      <c r="M4" s="10"/>
      <c r="N4" s="19"/>
      <c r="O4" s="19"/>
      <c r="P4" s="19"/>
      <c r="Q4" s="19"/>
      <c r="R4" s="21"/>
      <c r="S4" s="19"/>
      <c r="T4" s="19"/>
      <c r="U4" s="19"/>
      <c r="V4" s="23" t="str">
        <f>VLOOKUP(表2[[#This Row],[名称]],Sheet1!E:AK,33,FALSE)</f>
        <v>李威</v>
      </c>
      <c r="Z4"/>
      <c r="AC4"/>
    </row>
    <row r="5" spans="1:29" ht="26">
      <c r="A5" s="18" t="s">
        <v>186</v>
      </c>
      <c r="B5" s="10" t="s">
        <v>187</v>
      </c>
      <c r="C5" s="10">
        <f>VLOOKUP(表2[[#This Row],[型号]],Sheet1!F:S,14,FALSE)</f>
        <v>46151</v>
      </c>
      <c r="D5" s="11">
        <v>500</v>
      </c>
      <c r="E5" s="10"/>
      <c r="F5" s="10"/>
      <c r="G5" s="10"/>
      <c r="H5" s="10">
        <f>VLOOKUP(表2[[#This Row],[型号]],Sheet1!F:M,8,FALSE)</f>
        <v>46264</v>
      </c>
      <c r="I5" s="10">
        <v>46149</v>
      </c>
      <c r="J5" s="12" t="s">
        <v>333</v>
      </c>
      <c r="K5" s="10" t="str">
        <f t="shared" si="0"/>
        <v>否</v>
      </c>
      <c r="L5" s="19"/>
      <c r="M5" s="10"/>
      <c r="N5" s="19"/>
      <c r="O5" s="19"/>
      <c r="P5" s="19"/>
      <c r="Q5" s="19"/>
      <c r="R5" s="21"/>
      <c r="S5" s="19"/>
      <c r="T5" s="19"/>
      <c r="U5" s="19"/>
      <c r="V5" s="23" t="str">
        <f>VLOOKUP(表2[[#This Row],[名称]],Sheet1!E:AK,33,FALSE)</f>
        <v>李威</v>
      </c>
      <c r="Z5"/>
      <c r="AC5"/>
    </row>
    <row r="6" spans="1:29" ht="52">
      <c r="A6" s="24" t="s">
        <v>179</v>
      </c>
      <c r="B6" s="25" t="s">
        <v>180</v>
      </c>
      <c r="C6" s="10">
        <f>VLOOKUP(表2[[#This Row],[型号]],Sheet1!F:S,14,FALSE)</f>
        <v>46125</v>
      </c>
      <c r="D6" s="11">
        <v>1000</v>
      </c>
      <c r="E6" s="10">
        <v>46142</v>
      </c>
      <c r="F6" s="10">
        <v>46152</v>
      </c>
      <c r="G6" s="10">
        <v>46157</v>
      </c>
      <c r="H6" s="10">
        <f>VLOOKUP(表2[[#This Row],[型号]],Sheet1!F:M,8,FALSE)</f>
        <v>46233</v>
      </c>
      <c r="I6" s="10">
        <v>46122</v>
      </c>
      <c r="J6" s="12" t="s">
        <v>334</v>
      </c>
      <c r="K6" s="10" t="str">
        <f t="shared" si="0"/>
        <v>否</v>
      </c>
      <c r="L6" s="19" t="s">
        <v>330</v>
      </c>
      <c r="M6" s="10"/>
      <c r="N6" s="19"/>
      <c r="O6" s="19"/>
      <c r="P6" s="19"/>
      <c r="Q6" s="19"/>
      <c r="R6" s="21"/>
      <c r="S6" s="19"/>
      <c r="T6" s="19"/>
      <c r="U6" s="26"/>
      <c r="V6" s="17" t="str">
        <f>VLOOKUP(表2[[#This Row],[名称]],Sheet1!E:AK,33,FALSE)</f>
        <v>李威</v>
      </c>
      <c r="Z6"/>
      <c r="AC6"/>
    </row>
    <row r="7" spans="1:29" ht="26">
      <c r="A7" s="24" t="s">
        <v>208</v>
      </c>
      <c r="B7" s="25" t="s">
        <v>209</v>
      </c>
      <c r="C7" s="10">
        <f>VLOOKUP(表2[[#This Row],[型号]],Sheet1!F:S,14,FALSE)</f>
        <v>46111</v>
      </c>
      <c r="D7" s="11">
        <v>1000</v>
      </c>
      <c r="E7" s="10">
        <v>46162</v>
      </c>
      <c r="F7" s="10">
        <v>46147</v>
      </c>
      <c r="G7" s="10">
        <v>46137</v>
      </c>
      <c r="H7" s="10">
        <f>VLOOKUP(表2[[#This Row],[型号]],Sheet1!F:M,8,FALSE)</f>
        <v>46203</v>
      </c>
      <c r="I7" s="10">
        <v>46106</v>
      </c>
      <c r="J7" s="10">
        <v>46160</v>
      </c>
      <c r="K7" s="10" t="str">
        <f t="shared" si="0"/>
        <v>是</v>
      </c>
      <c r="L7" s="19" t="s">
        <v>331</v>
      </c>
      <c r="M7" s="10"/>
      <c r="N7" s="10">
        <v>46137</v>
      </c>
      <c r="O7" s="27" t="s">
        <v>331</v>
      </c>
      <c r="P7" s="19">
        <v>1000</v>
      </c>
      <c r="Q7" s="19"/>
      <c r="R7" s="21"/>
      <c r="S7" s="19"/>
      <c r="T7" s="19"/>
      <c r="U7" s="19"/>
      <c r="V7" s="17" t="str">
        <f>VLOOKUP(表2[[#This Row],[名称]],Sheet1!E:AK,33,FALSE)</f>
        <v>靳超/吴高红</v>
      </c>
      <c r="Z7"/>
      <c r="AC7"/>
    </row>
    <row r="8" spans="1:29" ht="26">
      <c r="A8" s="18" t="s">
        <v>124</v>
      </c>
      <c r="B8" s="10" t="s">
        <v>125</v>
      </c>
      <c r="C8" s="10">
        <f>VLOOKUP(表2[[#This Row],[型号]],Sheet1!F:S,14,FALSE)</f>
        <v>46148</v>
      </c>
      <c r="D8" s="11"/>
      <c r="E8" s="10"/>
      <c r="F8" s="10"/>
      <c r="G8" s="10"/>
      <c r="H8" s="10">
        <f>VLOOKUP(表2[[#This Row],[型号]],Sheet1!F:M,8,FALSE)</f>
        <v>46182</v>
      </c>
      <c r="I8" s="10"/>
      <c r="J8" s="10">
        <v>46142</v>
      </c>
      <c r="K8" s="10" t="str">
        <f t="shared" si="0"/>
        <v>否</v>
      </c>
      <c r="L8" s="19"/>
      <c r="M8" s="10"/>
      <c r="N8" s="19"/>
      <c r="O8" s="19"/>
      <c r="P8" s="19"/>
      <c r="Q8" s="19"/>
      <c r="R8" s="21"/>
      <c r="S8" s="19"/>
      <c r="T8" s="19"/>
      <c r="U8" s="19"/>
      <c r="V8" s="17" t="str">
        <f>VLOOKUP(表2[[#This Row],[名称]],Sheet1!E:AK,33,FALSE)</f>
        <v>靳超</v>
      </c>
      <c r="Z8"/>
      <c r="AC8"/>
    </row>
    <row r="9" spans="1:29" ht="16.5">
      <c r="A9" s="18" t="s">
        <v>120</v>
      </c>
      <c r="B9" s="10" t="s">
        <v>121</v>
      </c>
      <c r="C9" s="10">
        <f>VLOOKUP(表2[[#This Row],[型号]],Sheet1!F:S,14,FALSE)</f>
        <v>46141</v>
      </c>
      <c r="D9" s="11">
        <v>50</v>
      </c>
      <c r="E9" s="10">
        <v>46142</v>
      </c>
      <c r="F9" s="10">
        <v>46153</v>
      </c>
      <c r="G9" s="10">
        <v>46148</v>
      </c>
      <c r="H9" s="10">
        <f>VLOOKUP(表2[[#This Row],[型号]],Sheet1!F:M,8,FALSE)</f>
        <v>46182</v>
      </c>
      <c r="I9" s="10"/>
      <c r="J9" s="10">
        <v>46142</v>
      </c>
      <c r="K9" s="10" t="str">
        <f t="shared" si="0"/>
        <v>否</v>
      </c>
      <c r="L9" s="13" t="s">
        <v>335</v>
      </c>
      <c r="M9" s="10" t="s">
        <v>336</v>
      </c>
      <c r="N9" s="13">
        <v>46148</v>
      </c>
      <c r="O9" s="13" t="s">
        <v>331</v>
      </c>
      <c r="P9" s="14">
        <v>50</v>
      </c>
      <c r="Q9" s="13"/>
      <c r="R9" s="15"/>
      <c r="S9" s="13"/>
      <c r="T9" s="13"/>
      <c r="U9" s="14"/>
      <c r="V9" s="17" t="str">
        <f>VLOOKUP(表2[[#This Row],[名称]],Sheet1!E:AK,33,FALSE)</f>
        <v>靳超</v>
      </c>
      <c r="Z9"/>
      <c r="AC9"/>
    </row>
    <row r="10" spans="1:29" ht="30" customHeight="1">
      <c r="A10" s="28" t="s">
        <v>120</v>
      </c>
      <c r="B10" s="29" t="s">
        <v>123</v>
      </c>
      <c r="C10" s="10">
        <f>VLOOKUP(表2[[#This Row],[型号]],Sheet1!F:S,14,FALSE)</f>
        <v>46141</v>
      </c>
      <c r="D10" s="11">
        <v>50</v>
      </c>
      <c r="E10" s="10">
        <v>46142</v>
      </c>
      <c r="F10" s="10">
        <v>46153</v>
      </c>
      <c r="G10" s="10">
        <v>46148</v>
      </c>
      <c r="H10" s="10">
        <f>VLOOKUP(表2[[#This Row],[型号]],Sheet1!F:M,8,FALSE)</f>
        <v>46182</v>
      </c>
      <c r="I10" s="10"/>
      <c r="J10" s="10">
        <v>46142</v>
      </c>
      <c r="K10" s="10" t="str">
        <f t="shared" si="0"/>
        <v>否</v>
      </c>
      <c r="L10" s="13" t="s">
        <v>335</v>
      </c>
      <c r="M10" s="10" t="s">
        <v>336</v>
      </c>
      <c r="N10" s="13">
        <v>46148</v>
      </c>
      <c r="O10" s="13" t="s">
        <v>331</v>
      </c>
      <c r="P10" s="14">
        <v>50</v>
      </c>
      <c r="Q10" s="13"/>
      <c r="R10" s="15"/>
      <c r="S10" s="13"/>
      <c r="T10" s="13"/>
      <c r="U10" s="13"/>
      <c r="V10" s="17" t="str">
        <f>VLOOKUP(表2[[#This Row],[名称]],Sheet1!E:AK,33,FALSE)</f>
        <v>靳超</v>
      </c>
      <c r="Z10"/>
      <c r="AC10"/>
    </row>
    <row r="11" spans="1:29" ht="76" customHeight="1">
      <c r="A11" s="18" t="s">
        <v>270</v>
      </c>
      <c r="B11" s="10" t="s">
        <v>271</v>
      </c>
      <c r="C11" s="10">
        <f>VLOOKUP(表2[[#This Row],[型号]],Sheet1!F:S,14,FALSE)</f>
        <v>46141</v>
      </c>
      <c r="D11" s="11">
        <v>50</v>
      </c>
      <c r="E11" s="10"/>
      <c r="F11" s="10">
        <v>46149</v>
      </c>
      <c r="G11" s="10">
        <v>46148</v>
      </c>
      <c r="H11" s="10">
        <f>VLOOKUP(表2[[#This Row],[型号]],Sheet1!F:M,8,FALSE)</f>
        <v>46173</v>
      </c>
      <c r="I11" s="10">
        <v>46127</v>
      </c>
      <c r="J11" s="10" t="s">
        <v>337</v>
      </c>
      <c r="K11" s="10" t="str">
        <f t="shared" si="0"/>
        <v>否</v>
      </c>
      <c r="L11" s="19" t="s">
        <v>331</v>
      </c>
      <c r="M11" s="10"/>
      <c r="N11" s="20">
        <v>46148</v>
      </c>
      <c r="O11" s="19" t="s">
        <v>331</v>
      </c>
      <c r="P11" s="19">
        <v>50</v>
      </c>
      <c r="Q11" s="19"/>
      <c r="R11" s="21"/>
      <c r="S11" s="19"/>
      <c r="T11" s="19"/>
      <c r="U11" s="22"/>
      <c r="V11" s="17" t="str">
        <f>VLOOKUP(表2[[#This Row],[名称]],Sheet1!E:AK,33,FALSE)</f>
        <v>张地</v>
      </c>
      <c r="Z11"/>
      <c r="AC11"/>
    </row>
    <row r="12" spans="1:29" ht="48.5" customHeight="1">
      <c r="A12" s="28" t="s">
        <v>131</v>
      </c>
      <c r="B12" s="11" t="s">
        <v>132</v>
      </c>
      <c r="C12" s="10">
        <f>VLOOKUP(表2[[#This Row],[型号]],Sheet1!F:S,14,FALSE)</f>
        <v>46098</v>
      </c>
      <c r="D12" s="11">
        <v>100</v>
      </c>
      <c r="E12" s="10">
        <v>46128</v>
      </c>
      <c r="F12" s="10">
        <v>46128</v>
      </c>
      <c r="G12" s="10">
        <v>46128</v>
      </c>
      <c r="H12" s="10">
        <f>VLOOKUP(表2[[#This Row],[型号]],Sheet1!F:M,8,FALSE)</f>
        <v>46172</v>
      </c>
      <c r="I12" s="10">
        <v>46095</v>
      </c>
      <c r="J12" s="10">
        <v>46134</v>
      </c>
      <c r="K12" s="10" t="str">
        <f t="shared" si="0"/>
        <v>是</v>
      </c>
      <c r="L12" s="13" t="s">
        <v>331</v>
      </c>
      <c r="M12" s="10"/>
      <c r="N12" s="10">
        <v>46128</v>
      </c>
      <c r="O12" s="13" t="s">
        <v>331</v>
      </c>
      <c r="P12" s="14">
        <v>100</v>
      </c>
      <c r="Q12" s="13">
        <v>46151</v>
      </c>
      <c r="R12" s="15" t="s">
        <v>332</v>
      </c>
      <c r="S12" s="13"/>
      <c r="T12" s="13"/>
      <c r="U12" s="13">
        <v>46151</v>
      </c>
      <c r="V12" s="17" t="str">
        <f>VLOOKUP(表2[[#This Row],[名称]],Sheet1!E:AK,33,FALSE)</f>
        <v>王诗豪</v>
      </c>
      <c r="Z12"/>
      <c r="AC12"/>
    </row>
    <row r="13" spans="1:29" ht="70" customHeight="1">
      <c r="A13" s="18" t="s">
        <v>155</v>
      </c>
      <c r="B13" s="10" t="s">
        <v>156</v>
      </c>
      <c r="C13" s="10">
        <f>VLOOKUP(表2[[#This Row],[型号]],Sheet1!F:S,14,FALSE)</f>
        <v>46092</v>
      </c>
      <c r="D13" s="11">
        <v>50</v>
      </c>
      <c r="E13" s="10">
        <v>46133</v>
      </c>
      <c r="F13" s="10">
        <v>46132</v>
      </c>
      <c r="G13" s="10">
        <v>46137</v>
      </c>
      <c r="H13" s="10">
        <f>VLOOKUP(表2[[#This Row],[型号]],Sheet1!F:M,8,FALSE)</f>
        <v>46172</v>
      </c>
      <c r="I13" s="10">
        <v>46107</v>
      </c>
      <c r="J13" s="10">
        <v>46133</v>
      </c>
      <c r="K13" s="10" t="str">
        <f t="shared" si="0"/>
        <v>是</v>
      </c>
      <c r="L13" s="19" t="s">
        <v>335</v>
      </c>
      <c r="M13" s="10" t="s">
        <v>335</v>
      </c>
      <c r="N13" s="10">
        <v>46137</v>
      </c>
      <c r="O13" s="19" t="s">
        <v>331</v>
      </c>
      <c r="P13" s="19">
        <v>50</v>
      </c>
      <c r="Q13" s="13">
        <v>46161</v>
      </c>
      <c r="R13" s="21" t="s">
        <v>338</v>
      </c>
      <c r="S13" s="19"/>
      <c r="T13" s="19"/>
      <c r="U13" s="19"/>
      <c r="V13" s="17" t="str">
        <f>VLOOKUP(表2[[#This Row],[名称]],Sheet1!E:AK,33,FALSE)</f>
        <v>王旭东</v>
      </c>
      <c r="Z13"/>
      <c r="AC13"/>
    </row>
    <row r="14" spans="1:29" ht="16.5">
      <c r="A14" s="18" t="s">
        <v>155</v>
      </c>
      <c r="B14" s="10" t="s">
        <v>157</v>
      </c>
      <c r="C14" s="10">
        <f>VLOOKUP(表2[[#This Row],[型号]],Sheet1!F:S,14,FALSE)</f>
        <v>46092</v>
      </c>
      <c r="D14" s="11">
        <v>50</v>
      </c>
      <c r="E14" s="10">
        <v>46133</v>
      </c>
      <c r="F14" s="10">
        <v>46132</v>
      </c>
      <c r="G14" s="10">
        <v>46137</v>
      </c>
      <c r="H14" s="10">
        <f>VLOOKUP(表2[[#This Row],[型号]],Sheet1!F:M,8,FALSE)</f>
        <v>46172</v>
      </c>
      <c r="I14" s="10">
        <v>46107</v>
      </c>
      <c r="J14" s="10">
        <v>46133</v>
      </c>
      <c r="K14" s="10" t="str">
        <f t="shared" si="0"/>
        <v>是</v>
      </c>
      <c r="L14" s="19" t="s">
        <v>335</v>
      </c>
      <c r="M14" s="10" t="s">
        <v>335</v>
      </c>
      <c r="N14" s="10">
        <v>46137</v>
      </c>
      <c r="O14" s="19" t="s">
        <v>331</v>
      </c>
      <c r="P14" s="19">
        <v>50</v>
      </c>
      <c r="Q14" s="13">
        <v>46161</v>
      </c>
      <c r="R14" s="21" t="s">
        <v>338</v>
      </c>
      <c r="S14" s="19"/>
      <c r="T14" s="19"/>
      <c r="U14" s="19"/>
      <c r="V14" s="17" t="str">
        <f>VLOOKUP(表2[[#This Row],[名称]],Sheet1!E:AK,33,FALSE)</f>
        <v>王旭东</v>
      </c>
      <c r="Z14"/>
      <c r="AC14"/>
    </row>
    <row r="15" spans="1:29" ht="16.5">
      <c r="A15" s="28" t="s">
        <v>173</v>
      </c>
      <c r="B15" s="11" t="s">
        <v>174</v>
      </c>
      <c r="C15" s="10">
        <f>VLOOKUP(表2[[#This Row],[型号]],Sheet1!F:S,14,FALSE)</f>
        <v>46132</v>
      </c>
      <c r="D15" s="11">
        <v>1000</v>
      </c>
      <c r="E15" s="10"/>
      <c r="F15" s="10">
        <v>46160</v>
      </c>
      <c r="G15" s="10">
        <v>46162</v>
      </c>
      <c r="H15" s="10">
        <f>VLOOKUP(表2[[#This Row],[型号]],Sheet1!F:M,8,FALSE)</f>
        <v>46162</v>
      </c>
      <c r="I15" s="10">
        <v>46132</v>
      </c>
      <c r="J15" s="10">
        <v>46160</v>
      </c>
      <c r="K15" s="10" t="str">
        <f t="shared" si="0"/>
        <v>是</v>
      </c>
      <c r="L15" s="13" t="s">
        <v>330</v>
      </c>
      <c r="M15" s="10" t="s">
        <v>339</v>
      </c>
      <c r="N15" s="13"/>
      <c r="O15" s="13"/>
      <c r="P15" s="13"/>
      <c r="Q15" s="13"/>
      <c r="R15" s="15"/>
      <c r="S15" s="13"/>
      <c r="T15" s="13"/>
      <c r="U15" s="16"/>
      <c r="V15" s="17" t="str">
        <f>VLOOKUP(表2[[#This Row],[名称]],Sheet1!E:AK,33,FALSE)</f>
        <v>潘荣誉</v>
      </c>
      <c r="Z15"/>
      <c r="AC15"/>
    </row>
    <row r="16" spans="1:29" ht="16.5">
      <c r="A16" s="18" t="s">
        <v>153</v>
      </c>
      <c r="B16" s="11" t="s">
        <v>154</v>
      </c>
      <c r="C16" s="10">
        <f>VLOOKUP(表2[[#This Row],[型号]],Sheet1!F:S,14,FALSE)</f>
        <v>46100</v>
      </c>
      <c r="D16" s="11">
        <v>100</v>
      </c>
      <c r="E16" s="10">
        <v>46162</v>
      </c>
      <c r="F16" s="10">
        <v>46147</v>
      </c>
      <c r="G16" s="10">
        <v>46137</v>
      </c>
      <c r="H16" s="10">
        <f>VLOOKUP(表2[[#This Row],[型号]],Sheet1!F:M,8,FALSE)</f>
        <v>46162</v>
      </c>
      <c r="I16" s="10">
        <v>46097</v>
      </c>
      <c r="J16" s="10">
        <v>46155</v>
      </c>
      <c r="K16" s="10" t="str">
        <f t="shared" si="0"/>
        <v>是</v>
      </c>
      <c r="L16" s="13" t="s">
        <v>331</v>
      </c>
      <c r="M16" s="10"/>
      <c r="N16" s="10">
        <v>46137</v>
      </c>
      <c r="O16" s="13" t="s">
        <v>331</v>
      </c>
      <c r="P16" s="14">
        <v>100</v>
      </c>
      <c r="Q16" s="13"/>
      <c r="R16" s="15"/>
      <c r="S16" s="13"/>
      <c r="T16" s="13"/>
      <c r="U16" s="13"/>
      <c r="V16" s="17" t="str">
        <f>VLOOKUP(表2[[#This Row],[名称]],Sheet1!E:AK,33,FALSE)</f>
        <v>潘荣誉</v>
      </c>
      <c r="Z16"/>
      <c r="AC16"/>
    </row>
    <row r="17" spans="1:29">
      <c r="A17" s="18" t="s">
        <v>127</v>
      </c>
      <c r="B17" s="10" t="s">
        <v>128</v>
      </c>
      <c r="C17" s="10">
        <f>VLOOKUP(表2[[#This Row],[型号]],Sheet1!F:S,14,FALSE)</f>
        <v>46051</v>
      </c>
      <c r="D17" s="11">
        <v>1000</v>
      </c>
      <c r="E17" s="10">
        <v>46091</v>
      </c>
      <c r="F17" s="10">
        <v>46091</v>
      </c>
      <c r="G17" s="10">
        <v>46091</v>
      </c>
      <c r="H17" s="10">
        <f>VLOOKUP(表2[[#This Row],[型号]],Sheet1!F:M,8,FALSE)</f>
        <v>46162</v>
      </c>
      <c r="I17" s="10">
        <v>46114</v>
      </c>
      <c r="J17" s="10">
        <v>46114</v>
      </c>
      <c r="K17" s="10" t="str">
        <f t="shared" si="0"/>
        <v>是</v>
      </c>
      <c r="L17" s="19" t="s">
        <v>331</v>
      </c>
      <c r="M17" s="10"/>
      <c r="N17" s="30">
        <v>46091</v>
      </c>
      <c r="O17" s="19" t="s">
        <v>330</v>
      </c>
      <c r="P17" s="19">
        <v>108</v>
      </c>
      <c r="Q17" s="19"/>
      <c r="R17" s="31"/>
      <c r="S17" s="19"/>
      <c r="T17" s="19"/>
      <c r="U17" s="19"/>
      <c r="V17" s="23" t="str">
        <f>VLOOKUP(表2[[#This Row],[名称]],Sheet1!E:AK,33,FALSE)</f>
        <v>纪鹏飞</v>
      </c>
      <c r="Z17"/>
      <c r="AC17"/>
    </row>
    <row r="18" spans="1:29" ht="16.5">
      <c r="A18" s="28" t="s">
        <v>137</v>
      </c>
      <c r="B18" s="11" t="s">
        <v>138</v>
      </c>
      <c r="C18" s="10">
        <f>VLOOKUP(表2[[#This Row],[型号]],Sheet1!F:S,14,FALSE)</f>
        <v>46098</v>
      </c>
      <c r="D18" s="11">
        <v>1000</v>
      </c>
      <c r="E18" s="10">
        <v>46128</v>
      </c>
      <c r="F18" s="10">
        <v>46128</v>
      </c>
      <c r="G18" s="10">
        <v>46128</v>
      </c>
      <c r="H18" s="10">
        <f>VLOOKUP(表2[[#This Row],[型号]],Sheet1!F:M,8,FALSE)</f>
        <v>46152</v>
      </c>
      <c r="I18" s="10">
        <v>46086</v>
      </c>
      <c r="J18" s="10">
        <v>46127</v>
      </c>
      <c r="K18" s="10" t="str">
        <f t="shared" si="0"/>
        <v>是</v>
      </c>
      <c r="L18" s="13" t="s">
        <v>331</v>
      </c>
      <c r="M18" s="10"/>
      <c r="N18" s="10">
        <v>46128</v>
      </c>
      <c r="O18" s="13" t="s">
        <v>331</v>
      </c>
      <c r="P18" s="14">
        <v>1000</v>
      </c>
      <c r="Q18" s="13">
        <v>46162</v>
      </c>
      <c r="R18" s="15" t="s">
        <v>332</v>
      </c>
      <c r="S18" s="13" t="s">
        <v>340</v>
      </c>
      <c r="T18" s="13">
        <v>46188</v>
      </c>
      <c r="U18" s="13"/>
      <c r="V18" s="17" t="str">
        <f>VLOOKUP(表2[[#This Row],[名称]],Sheet1!E:AK,33,FALSE)</f>
        <v>胡双寒</v>
      </c>
      <c r="Z18"/>
      <c r="AC18"/>
    </row>
    <row r="19" spans="1:29" ht="16.5">
      <c r="A19" s="28" t="s">
        <v>141</v>
      </c>
      <c r="B19" s="11" t="s">
        <v>142</v>
      </c>
      <c r="C19" s="10">
        <f>VLOOKUP(表2[[#This Row],[型号]],Sheet1!F:S,14,FALSE)</f>
        <v>46098</v>
      </c>
      <c r="D19" s="11">
        <v>1000</v>
      </c>
      <c r="E19" s="10">
        <v>46128</v>
      </c>
      <c r="F19" s="10">
        <v>46128</v>
      </c>
      <c r="G19" s="10">
        <v>46128</v>
      </c>
      <c r="H19" s="10">
        <f>VLOOKUP(表2[[#This Row],[型号]],Sheet1!F:M,8,FALSE)</f>
        <v>46152</v>
      </c>
      <c r="I19" s="10">
        <v>46086</v>
      </c>
      <c r="J19" s="10">
        <v>46127</v>
      </c>
      <c r="K19" s="10" t="str">
        <f t="shared" si="0"/>
        <v>是</v>
      </c>
      <c r="L19" s="13" t="s">
        <v>331</v>
      </c>
      <c r="M19" s="10"/>
      <c r="N19" s="10">
        <v>46128</v>
      </c>
      <c r="O19" s="13" t="s">
        <v>331</v>
      </c>
      <c r="P19" s="14">
        <v>1000</v>
      </c>
      <c r="Q19" s="13">
        <v>46162</v>
      </c>
      <c r="R19" s="15" t="s">
        <v>332</v>
      </c>
      <c r="S19" s="19"/>
      <c r="T19" s="13"/>
      <c r="U19" s="13"/>
      <c r="V19" s="17" t="str">
        <f>VLOOKUP(表2[[#This Row],[名称]],Sheet1!E:AK,33,FALSE)</f>
        <v>胡双寒</v>
      </c>
      <c r="Z19"/>
      <c r="AC19"/>
    </row>
    <row r="20" spans="1:29" ht="26">
      <c r="A20" s="18" t="s">
        <v>150</v>
      </c>
      <c r="B20" s="10" t="s">
        <v>151</v>
      </c>
      <c r="C20" s="10">
        <f>VLOOKUP(表2[[#This Row],[型号]],Sheet1!F:S,14,FALSE)</f>
        <v>46101</v>
      </c>
      <c r="D20" s="11">
        <v>20</v>
      </c>
      <c r="E20" s="10">
        <v>46162</v>
      </c>
      <c r="F20" s="32"/>
      <c r="G20" s="10">
        <v>46137</v>
      </c>
      <c r="H20" s="10">
        <f>VLOOKUP(表2[[#This Row],[型号]],Sheet1!F:M,8,FALSE)</f>
        <v>46142</v>
      </c>
      <c r="I20" s="10">
        <v>46107</v>
      </c>
      <c r="J20" s="10">
        <v>46157</v>
      </c>
      <c r="K20" s="10" t="str">
        <f t="shared" si="0"/>
        <v>是</v>
      </c>
      <c r="L20" s="13" t="s">
        <v>335</v>
      </c>
      <c r="M20" s="10" t="s">
        <v>335</v>
      </c>
      <c r="N20" s="10">
        <v>46137</v>
      </c>
      <c r="O20" s="13" t="s">
        <v>331</v>
      </c>
      <c r="P20" s="14">
        <v>20</v>
      </c>
      <c r="Q20" s="13">
        <v>46175</v>
      </c>
      <c r="R20" s="15"/>
      <c r="S20" s="13"/>
      <c r="T20" s="13"/>
      <c r="U20" s="13"/>
      <c r="V20" s="17" t="str">
        <f>VLOOKUP(表2[[#This Row],[名称]],Sheet1!E:AK,33,FALSE)</f>
        <v>杨姜</v>
      </c>
      <c r="Z20"/>
      <c r="AC20"/>
    </row>
    <row r="21" spans="1:29" ht="54" customHeight="1">
      <c r="A21" s="18" t="s">
        <v>158</v>
      </c>
      <c r="B21" s="10" t="s">
        <v>159</v>
      </c>
      <c r="C21" s="10">
        <f>VLOOKUP(表2[[#This Row],[型号]],Sheet1!F:S,14,FALSE)</f>
        <v>46092</v>
      </c>
      <c r="D21" s="11">
        <v>500</v>
      </c>
      <c r="E21" s="10">
        <v>46141</v>
      </c>
      <c r="F21" s="10">
        <v>46152</v>
      </c>
      <c r="G21" s="10">
        <v>46137</v>
      </c>
      <c r="H21" s="10">
        <f>VLOOKUP(表2[[#This Row],[型号]],Sheet1!F:M,8,FALSE)</f>
        <v>46142</v>
      </c>
      <c r="I21" s="10">
        <v>46107</v>
      </c>
      <c r="J21" s="10">
        <v>46141</v>
      </c>
      <c r="K21" s="10" t="str">
        <f t="shared" si="0"/>
        <v>是</v>
      </c>
      <c r="L21" s="19" t="s">
        <v>335</v>
      </c>
      <c r="M21" s="10" t="s">
        <v>335</v>
      </c>
      <c r="N21" s="10">
        <v>46137</v>
      </c>
      <c r="O21" s="19" t="s">
        <v>331</v>
      </c>
      <c r="P21" s="19">
        <v>500</v>
      </c>
      <c r="Q21" s="20">
        <v>46168</v>
      </c>
      <c r="R21" s="21" t="s">
        <v>332</v>
      </c>
      <c r="S21" s="19"/>
      <c r="T21" s="19"/>
      <c r="U21" s="19"/>
      <c r="V21" s="17" t="str">
        <f>VLOOKUP(表2[[#This Row],[名称]],Sheet1!E:AK,33,FALSE)</f>
        <v>杨姜</v>
      </c>
      <c r="Z21"/>
      <c r="AC21"/>
    </row>
    <row r="22" spans="1:29" ht="16.5">
      <c r="A22" s="18" t="s">
        <v>158</v>
      </c>
      <c r="B22" s="10" t="s">
        <v>160</v>
      </c>
      <c r="C22" s="10">
        <f>VLOOKUP(表2[[#This Row],[型号]],Sheet1!F:S,14,FALSE)</f>
        <v>46092</v>
      </c>
      <c r="D22" s="11">
        <v>100</v>
      </c>
      <c r="E22" s="10">
        <v>46141</v>
      </c>
      <c r="F22" s="10">
        <v>46152</v>
      </c>
      <c r="G22" s="10">
        <v>46137</v>
      </c>
      <c r="H22" s="10">
        <f>VLOOKUP(表2[[#This Row],[型号]],Sheet1!F:M,8,FALSE)</f>
        <v>46142</v>
      </c>
      <c r="I22" s="10">
        <v>46107</v>
      </c>
      <c r="J22" s="10">
        <v>46141</v>
      </c>
      <c r="K22" s="10" t="str">
        <f t="shared" si="0"/>
        <v>是</v>
      </c>
      <c r="L22" s="19" t="s">
        <v>335</v>
      </c>
      <c r="M22" s="10" t="s">
        <v>335</v>
      </c>
      <c r="N22" s="10">
        <v>46137</v>
      </c>
      <c r="O22" s="19" t="s">
        <v>331</v>
      </c>
      <c r="P22" s="19">
        <v>100</v>
      </c>
      <c r="Q22" s="20">
        <v>46168</v>
      </c>
      <c r="R22" s="19" t="s">
        <v>332</v>
      </c>
      <c r="S22" s="19"/>
      <c r="T22" s="19"/>
      <c r="U22" s="19"/>
      <c r="V22" s="17" t="str">
        <f>VLOOKUP(表2[[#This Row],[名称]],Sheet1!E:AK,33,FALSE)</f>
        <v>杨姜</v>
      </c>
      <c r="Z22"/>
      <c r="AC22"/>
    </row>
    <row r="23" spans="1:29" ht="41.5" customHeight="1">
      <c r="A23" s="8" t="s">
        <v>65</v>
      </c>
      <c r="B23" s="9" t="s">
        <v>66</v>
      </c>
      <c r="C23" s="10">
        <f>VLOOKUP(表2[[#This Row],[型号]],Sheet1!F:S,14,FALSE)</f>
        <v>46051</v>
      </c>
      <c r="D23" s="11">
        <v>1000</v>
      </c>
      <c r="E23" s="10">
        <v>46091</v>
      </c>
      <c r="F23" s="10">
        <v>46091</v>
      </c>
      <c r="G23" s="10">
        <v>46091</v>
      </c>
      <c r="H23" s="10">
        <f>VLOOKUP(表2[[#This Row],[型号]],Sheet1!F:M,8,FALSE)</f>
        <v>46141</v>
      </c>
      <c r="I23" s="10">
        <v>46044</v>
      </c>
      <c r="J23" s="10">
        <v>46036</v>
      </c>
      <c r="K23" s="10" t="str">
        <f t="shared" si="0"/>
        <v>是</v>
      </c>
      <c r="L23" s="13" t="s">
        <v>331</v>
      </c>
      <c r="M23" s="12" t="s">
        <v>341</v>
      </c>
      <c r="N23" s="10">
        <v>46091</v>
      </c>
      <c r="O23" s="13" t="s">
        <v>331</v>
      </c>
      <c r="P23" s="14">
        <v>1000</v>
      </c>
      <c r="Q23" s="13">
        <v>46151</v>
      </c>
      <c r="R23" s="15" t="s">
        <v>332</v>
      </c>
      <c r="S23" s="33" t="s">
        <v>342</v>
      </c>
      <c r="T23" s="13">
        <v>46155</v>
      </c>
      <c r="U23" s="13" t="s">
        <v>343</v>
      </c>
      <c r="V23" s="17" t="str">
        <f>VLOOKUP(表2[[#This Row],[名称]],Sheet1!E:AK,33,FALSE)</f>
        <v>韩振飞</v>
      </c>
      <c r="Z23"/>
      <c r="AC23"/>
    </row>
    <row r="24" spans="1:29" ht="26">
      <c r="A24" s="24" t="s">
        <v>176</v>
      </c>
      <c r="B24" s="25" t="s">
        <v>177</v>
      </c>
      <c r="C24" s="10">
        <f>VLOOKUP(表2[[#This Row],[型号]],Sheet1!F:S,14,FALSE)</f>
        <v>46105</v>
      </c>
      <c r="D24" s="11">
        <v>100</v>
      </c>
      <c r="E24" s="10">
        <v>46162</v>
      </c>
      <c r="F24" s="10">
        <v>46142</v>
      </c>
      <c r="G24" s="10">
        <v>46137</v>
      </c>
      <c r="H24" s="10">
        <f>VLOOKUP(表2[[#This Row],[型号]],Sheet1!F:M,8,FALSE)</f>
        <v>46132</v>
      </c>
      <c r="I24" s="10">
        <v>46100</v>
      </c>
      <c r="J24" s="10">
        <v>46156</v>
      </c>
      <c r="K24" s="10" t="str">
        <f t="shared" si="0"/>
        <v>是</v>
      </c>
      <c r="L24" s="19" t="s">
        <v>331</v>
      </c>
      <c r="M24" s="12" t="s">
        <v>344</v>
      </c>
      <c r="N24" s="19"/>
      <c r="O24" s="19" t="s">
        <v>331</v>
      </c>
      <c r="P24" s="19">
        <v>50</v>
      </c>
      <c r="Q24" s="13">
        <v>46163</v>
      </c>
      <c r="R24" s="21" t="s">
        <v>332</v>
      </c>
      <c r="S24" s="19"/>
      <c r="T24" s="19"/>
      <c r="U24" s="26"/>
      <c r="V24" s="23" t="str">
        <f>VLOOKUP(表2[[#This Row],[名称]],Sheet1!E:AK,33,FALSE)</f>
        <v>郑光廷</v>
      </c>
      <c r="Z24"/>
      <c r="AC24"/>
    </row>
    <row r="25" spans="1:29" ht="26">
      <c r="A25" s="28" t="s">
        <v>117</v>
      </c>
      <c r="B25" s="11" t="s">
        <v>118</v>
      </c>
      <c r="C25" s="10">
        <f>VLOOKUP(表2[[#This Row],[型号]],Sheet1!F:S,14,FALSE)</f>
        <v>46098</v>
      </c>
      <c r="D25" s="11">
        <v>16</v>
      </c>
      <c r="E25" s="10">
        <v>46162</v>
      </c>
      <c r="F25" s="10"/>
      <c r="G25" s="10">
        <v>46137</v>
      </c>
      <c r="H25" s="10">
        <f>VLOOKUP(表2[[#This Row],[型号]],Sheet1!F:M,8,FALSE)</f>
        <v>46132</v>
      </c>
      <c r="I25" s="10">
        <v>46112</v>
      </c>
      <c r="J25" s="10">
        <v>46142</v>
      </c>
      <c r="K25" s="10" t="str">
        <f t="shared" si="0"/>
        <v>是</v>
      </c>
      <c r="L25" s="13" t="s">
        <v>331</v>
      </c>
      <c r="M25" s="12" t="s">
        <v>345</v>
      </c>
      <c r="N25" s="10">
        <v>46137</v>
      </c>
      <c r="O25" s="13" t="s">
        <v>331</v>
      </c>
      <c r="P25" s="14">
        <v>16</v>
      </c>
      <c r="Q25" s="20">
        <v>46164</v>
      </c>
      <c r="R25" s="15" t="s">
        <v>332</v>
      </c>
      <c r="S25" s="13"/>
      <c r="T25" s="13"/>
      <c r="U25" s="13"/>
      <c r="V25" s="17" t="str">
        <f>VLOOKUP(表2[[#This Row],[名称]],Sheet1!E:AK,33,FALSE)</f>
        <v>庞传道</v>
      </c>
      <c r="Z25"/>
      <c r="AC25"/>
    </row>
    <row r="26" spans="1:29" ht="35.5" customHeight="1">
      <c r="A26" s="28" t="s">
        <v>114</v>
      </c>
      <c r="B26" s="11" t="s">
        <v>115</v>
      </c>
      <c r="C26" s="10">
        <f>VLOOKUP(表2[[#This Row],[型号]],Sheet1!F:S,14,FALSE)</f>
        <v>46092</v>
      </c>
      <c r="D26" s="11" t="s">
        <v>346</v>
      </c>
      <c r="E26" s="10">
        <v>46133</v>
      </c>
      <c r="F26" s="10">
        <v>46132</v>
      </c>
      <c r="G26" s="10">
        <v>46137</v>
      </c>
      <c r="H26" s="10">
        <f>VLOOKUP(表2[[#This Row],[型号]],Sheet1!F:M,8,FALSE)</f>
        <v>46132</v>
      </c>
      <c r="I26" s="10">
        <v>46107</v>
      </c>
      <c r="J26" s="10">
        <v>46105</v>
      </c>
      <c r="K26" s="10" t="str">
        <f t="shared" si="0"/>
        <v>是</v>
      </c>
      <c r="L26" s="13" t="s">
        <v>335</v>
      </c>
      <c r="M26" s="12" t="s">
        <v>347</v>
      </c>
      <c r="N26" s="10">
        <v>46137</v>
      </c>
      <c r="O26" s="13" t="s">
        <v>331</v>
      </c>
      <c r="P26" s="19" t="s">
        <v>346</v>
      </c>
      <c r="Q26" s="13">
        <v>46161</v>
      </c>
      <c r="R26" s="15" t="s">
        <v>338</v>
      </c>
      <c r="S26" s="13"/>
      <c r="T26" s="13"/>
      <c r="U26" s="13"/>
      <c r="V26" s="17" t="str">
        <f>VLOOKUP(表2[[#This Row],[名称]],Sheet1!E:AK,33,FALSE)</f>
        <v>王旭东</v>
      </c>
      <c r="Z26"/>
      <c r="AC26"/>
    </row>
    <row r="27" spans="1:29" ht="16.5">
      <c r="A27" s="28" t="s">
        <v>111</v>
      </c>
      <c r="B27" s="11" t="s">
        <v>112</v>
      </c>
      <c r="C27" s="10">
        <f>VLOOKUP(表2[[#This Row],[型号]],Sheet1!F:S,14,FALSE)</f>
        <v>46098</v>
      </c>
      <c r="D27" s="11">
        <v>1000</v>
      </c>
      <c r="E27" s="10">
        <v>46128</v>
      </c>
      <c r="F27" s="10">
        <v>46128</v>
      </c>
      <c r="G27" s="10">
        <v>46128</v>
      </c>
      <c r="H27" s="10">
        <f>VLOOKUP(表2[[#This Row],[型号]],Sheet1!F:M,8,FALSE)</f>
        <v>46111</v>
      </c>
      <c r="I27" s="10">
        <v>46095</v>
      </c>
      <c r="J27" s="10">
        <v>46107</v>
      </c>
      <c r="K27" s="10" t="str">
        <f t="shared" si="0"/>
        <v>是</v>
      </c>
      <c r="L27" s="13" t="s">
        <v>331</v>
      </c>
      <c r="M27" s="10"/>
      <c r="N27" s="10">
        <v>46128</v>
      </c>
      <c r="O27" s="13" t="s">
        <v>331</v>
      </c>
      <c r="P27" s="14">
        <v>1000</v>
      </c>
      <c r="Q27" s="13">
        <v>46139</v>
      </c>
      <c r="R27" s="15" t="s">
        <v>338</v>
      </c>
      <c r="S27" s="13" t="s">
        <v>348</v>
      </c>
      <c r="T27" s="13">
        <v>46162</v>
      </c>
      <c r="U27" s="13"/>
      <c r="V27" s="17" t="str">
        <f>VLOOKUP(表2[[#This Row],[名称]],Sheet1!E:AK,33,FALSE)</f>
        <v>崔景贺</v>
      </c>
      <c r="Z27"/>
      <c r="AC27"/>
    </row>
    <row r="28" spans="1:29" ht="16.5">
      <c r="A28" s="28" t="s">
        <v>109</v>
      </c>
      <c r="B28" s="11" t="s">
        <v>110</v>
      </c>
      <c r="C28" s="10">
        <f>VLOOKUP(表2[[#This Row],[型号]],Sheet1!F:S,14,FALSE)</f>
        <v>46051</v>
      </c>
      <c r="D28" s="11">
        <v>1000</v>
      </c>
      <c r="E28" s="10">
        <v>46091</v>
      </c>
      <c r="F28" s="10">
        <v>46091</v>
      </c>
      <c r="G28" s="10">
        <v>46091</v>
      </c>
      <c r="H28" s="10">
        <f>VLOOKUP(表2[[#This Row],[型号]],Sheet1!F:M,8,FALSE)</f>
        <v>46101</v>
      </c>
      <c r="I28" s="10">
        <v>46021</v>
      </c>
      <c r="J28" s="10">
        <v>46101</v>
      </c>
      <c r="K28" s="10" t="str">
        <f t="shared" si="0"/>
        <v>是</v>
      </c>
      <c r="L28" s="13" t="s">
        <v>331</v>
      </c>
      <c r="M28" s="10"/>
      <c r="N28" s="10">
        <v>46091</v>
      </c>
      <c r="O28" s="13" t="s">
        <v>330</v>
      </c>
      <c r="P28" s="14">
        <v>106</v>
      </c>
      <c r="Q28" s="13"/>
      <c r="R28" s="15"/>
      <c r="S28" s="13"/>
      <c r="T28" s="13"/>
      <c r="U28" s="13"/>
      <c r="V28" s="17" t="str">
        <f>VLOOKUP(表2[[#This Row],[名称]],Sheet1!E:AK,33,FALSE)</f>
        <v>马洪驰</v>
      </c>
      <c r="Z28"/>
      <c r="AC28"/>
    </row>
    <row r="29" spans="1:29" ht="16.5">
      <c r="A29" s="28" t="s">
        <v>82</v>
      </c>
      <c r="B29" s="11" t="s">
        <v>83</v>
      </c>
      <c r="C29" s="10">
        <f>VLOOKUP(表2[[#This Row],[型号]],Sheet1!F:S,14,FALSE)</f>
        <v>46051</v>
      </c>
      <c r="D29" s="11">
        <v>1000</v>
      </c>
      <c r="E29" s="10">
        <v>46091</v>
      </c>
      <c r="F29" s="10">
        <v>46091</v>
      </c>
      <c r="G29" s="10">
        <v>46091</v>
      </c>
      <c r="H29" s="10">
        <f>VLOOKUP(表2[[#This Row],[型号]],Sheet1!F:M,8,FALSE)</f>
        <v>46101</v>
      </c>
      <c r="I29" s="10">
        <v>45994</v>
      </c>
      <c r="J29" s="10">
        <v>46031</v>
      </c>
      <c r="K29" s="10" t="str">
        <f t="shared" si="0"/>
        <v>是</v>
      </c>
      <c r="L29" s="13" t="s">
        <v>331</v>
      </c>
      <c r="M29" s="10"/>
      <c r="N29" s="10">
        <v>46091</v>
      </c>
      <c r="O29" s="13" t="s">
        <v>330</v>
      </c>
      <c r="P29" s="14">
        <v>112</v>
      </c>
      <c r="Q29" s="13"/>
      <c r="R29" s="15"/>
      <c r="S29" s="13"/>
      <c r="T29" s="13"/>
      <c r="U29" s="13"/>
      <c r="V29" s="17" t="str">
        <f>VLOOKUP(表2[[#This Row],[名称]],Sheet1!E:AK,33,FALSE)</f>
        <v>胡双寒</v>
      </c>
      <c r="Z29"/>
      <c r="AC29"/>
    </row>
    <row r="30" spans="1:29" ht="16.5">
      <c r="A30" s="28" t="s">
        <v>85</v>
      </c>
      <c r="B30" s="11" t="s">
        <v>86</v>
      </c>
      <c r="C30" s="10">
        <f>VLOOKUP(表2[[#This Row],[型号]],Sheet1!F:S,14,FALSE)</f>
        <v>46051</v>
      </c>
      <c r="D30" s="11">
        <v>1000</v>
      </c>
      <c r="E30" s="10">
        <v>46091</v>
      </c>
      <c r="F30" s="10">
        <v>46091</v>
      </c>
      <c r="G30" s="10">
        <v>46091</v>
      </c>
      <c r="H30" s="10">
        <f>VLOOKUP(表2[[#This Row],[型号]],Sheet1!F:M,8,FALSE)</f>
        <v>46101</v>
      </c>
      <c r="I30" s="10">
        <v>45994</v>
      </c>
      <c r="J30" s="10">
        <v>46031</v>
      </c>
      <c r="K30" s="10" t="str">
        <f t="shared" si="0"/>
        <v>是</v>
      </c>
      <c r="L30" s="13" t="s">
        <v>331</v>
      </c>
      <c r="M30" s="10"/>
      <c r="N30" s="10">
        <v>46091</v>
      </c>
      <c r="O30" s="13" t="s">
        <v>330</v>
      </c>
      <c r="P30" s="14">
        <v>112</v>
      </c>
      <c r="Q30" s="13"/>
      <c r="R30" s="15"/>
      <c r="S30" s="13"/>
      <c r="T30" s="13"/>
      <c r="U30" s="13"/>
      <c r="V30" s="17" t="str">
        <f>VLOOKUP(表2[[#This Row],[名称]],Sheet1!E:AK,33,FALSE)</f>
        <v>胡双寒</v>
      </c>
      <c r="Z30"/>
      <c r="AC30"/>
    </row>
    <row r="31" spans="1:29" ht="16.5">
      <c r="A31" s="28" t="s">
        <v>95</v>
      </c>
      <c r="B31" s="11" t="s">
        <v>96</v>
      </c>
      <c r="C31" s="10">
        <f>VLOOKUP(表2[[#This Row],[型号]],Sheet1!F:S,14,FALSE)</f>
        <v>46051</v>
      </c>
      <c r="D31" s="11">
        <v>1000</v>
      </c>
      <c r="E31" s="10">
        <v>46091</v>
      </c>
      <c r="F31" s="10">
        <v>46091</v>
      </c>
      <c r="G31" s="10">
        <v>46091</v>
      </c>
      <c r="H31" s="10">
        <f>VLOOKUP(表2[[#This Row],[型号]],Sheet1!F:M,8,FALSE)</f>
        <v>46101</v>
      </c>
      <c r="I31" s="10">
        <v>46049</v>
      </c>
      <c r="J31" s="10">
        <v>46112</v>
      </c>
      <c r="K31" s="10" t="str">
        <f t="shared" si="0"/>
        <v>是</v>
      </c>
      <c r="L31" s="13" t="s">
        <v>331</v>
      </c>
      <c r="M31" s="10"/>
      <c r="N31" s="10">
        <v>46091</v>
      </c>
      <c r="O31" s="13" t="s">
        <v>330</v>
      </c>
      <c r="P31" s="14">
        <v>108</v>
      </c>
      <c r="Q31" s="13"/>
      <c r="R31" s="15"/>
      <c r="S31" s="13"/>
      <c r="T31" s="13"/>
      <c r="U31" s="13"/>
      <c r="V31" s="17" t="str">
        <f>VLOOKUP(表2[[#This Row],[名称]],Sheet1!E:AK,33,FALSE)</f>
        <v>纪鹏飞</v>
      </c>
      <c r="Z31"/>
      <c r="AC31"/>
    </row>
    <row r="32" spans="1:29" ht="16.5">
      <c r="A32" s="28" t="s">
        <v>87</v>
      </c>
      <c r="B32" s="11" t="s">
        <v>88</v>
      </c>
      <c r="C32" s="10">
        <f>VLOOKUP(表2[[#This Row],[型号]],Sheet1!F:S,14,FALSE)</f>
        <v>46051</v>
      </c>
      <c r="D32" s="11">
        <v>1000</v>
      </c>
      <c r="E32" s="10">
        <v>46091</v>
      </c>
      <c r="F32" s="10">
        <v>46091</v>
      </c>
      <c r="G32" s="10">
        <v>46091</v>
      </c>
      <c r="H32" s="10">
        <f>VLOOKUP(表2[[#This Row],[型号]],Sheet1!F:M,8,FALSE)</f>
        <v>46101</v>
      </c>
      <c r="I32" s="10">
        <v>46006</v>
      </c>
      <c r="J32" s="10">
        <v>46085</v>
      </c>
      <c r="K32" s="10" t="str">
        <f t="shared" si="0"/>
        <v>是</v>
      </c>
      <c r="L32" s="13" t="s">
        <v>331</v>
      </c>
      <c r="M32" s="10"/>
      <c r="N32" s="10">
        <v>46091</v>
      </c>
      <c r="O32" s="13" t="s">
        <v>330</v>
      </c>
      <c r="P32" s="14">
        <v>200</v>
      </c>
      <c r="Q32" s="13"/>
      <c r="R32" s="15"/>
      <c r="S32" s="13"/>
      <c r="T32" s="13"/>
      <c r="U32" s="13"/>
      <c r="V32" s="17" t="str">
        <f>VLOOKUP(表2[[#This Row],[名称]],Sheet1!E:AK,33,FALSE)</f>
        <v>潘荣誉</v>
      </c>
      <c r="Z32"/>
      <c r="AC32"/>
    </row>
    <row r="33" spans="1:29" ht="16.5">
      <c r="A33" s="34" t="s">
        <v>90</v>
      </c>
      <c r="B33" s="35" t="s">
        <v>91</v>
      </c>
      <c r="C33" s="10">
        <f>VLOOKUP(表2[[#This Row],[型号]],Sheet1!F:S,14,FALSE)</f>
        <v>46051</v>
      </c>
      <c r="D33" s="35">
        <v>1000</v>
      </c>
      <c r="E33" s="10">
        <v>46091</v>
      </c>
      <c r="F33" s="10">
        <v>46091</v>
      </c>
      <c r="G33" s="10">
        <v>46091</v>
      </c>
      <c r="H33" s="36">
        <f>VLOOKUP(表2[[#This Row],[型号]],Sheet1!F:M,8,FALSE)</f>
        <v>46101</v>
      </c>
      <c r="I33" s="36">
        <v>46006</v>
      </c>
      <c r="J33" s="10">
        <v>46085</v>
      </c>
      <c r="K33" s="36" t="str">
        <f t="shared" si="0"/>
        <v>是</v>
      </c>
      <c r="L33" s="13" t="s">
        <v>331</v>
      </c>
      <c r="M33" s="36"/>
      <c r="N33" s="36">
        <v>46091</v>
      </c>
      <c r="O33" s="37" t="s">
        <v>331</v>
      </c>
      <c r="P33" s="38">
        <v>1000</v>
      </c>
      <c r="Q33" s="37"/>
      <c r="R33" s="39"/>
      <c r="S33" s="37"/>
      <c r="T33" s="37"/>
      <c r="U33" s="37"/>
      <c r="V33" s="17" t="str">
        <f>VLOOKUP(表2[[#This Row],[名称]],Sheet1!E:AK,33,FALSE)</f>
        <v>潘荣誉</v>
      </c>
      <c r="Z33"/>
      <c r="AC33"/>
    </row>
    <row r="34" spans="1:29" ht="16.5">
      <c r="A34" s="34" t="s">
        <v>92</v>
      </c>
      <c r="B34" s="35" t="s">
        <v>93</v>
      </c>
      <c r="C34" s="10">
        <f>VLOOKUP(表2[[#This Row],[型号]],Sheet1!F:S,14,FALSE)</f>
        <v>46051</v>
      </c>
      <c r="D34" s="35">
        <v>1000</v>
      </c>
      <c r="E34" s="10">
        <v>46091</v>
      </c>
      <c r="F34" s="10">
        <v>46091</v>
      </c>
      <c r="G34" s="10">
        <v>46091</v>
      </c>
      <c r="H34" s="36">
        <f>VLOOKUP(表2[[#This Row],[型号]],Sheet1!F:M,8,FALSE)</f>
        <v>46101</v>
      </c>
      <c r="I34" s="36">
        <v>46006</v>
      </c>
      <c r="J34" s="10">
        <v>46085</v>
      </c>
      <c r="K34" s="36" t="str">
        <f t="shared" si="0"/>
        <v>是</v>
      </c>
      <c r="L34" s="37" t="s">
        <v>331</v>
      </c>
      <c r="M34" s="36"/>
      <c r="N34" s="36">
        <v>46091</v>
      </c>
      <c r="O34" s="37" t="s">
        <v>330</v>
      </c>
      <c r="P34" s="38">
        <v>108</v>
      </c>
      <c r="Q34" s="37"/>
      <c r="R34" s="39"/>
      <c r="S34" s="37"/>
      <c r="T34" s="37"/>
      <c r="U34" s="37"/>
      <c r="V34" s="17" t="str">
        <f>VLOOKUP(表2[[#This Row],[名称]],Sheet1!E:AK,33,FALSE)</f>
        <v>潘荣誉</v>
      </c>
      <c r="Y34" s="2"/>
      <c r="Z34"/>
      <c r="AC34"/>
    </row>
    <row r="35" spans="1:29" ht="16.5">
      <c r="A35" s="34" t="s">
        <v>92</v>
      </c>
      <c r="B35" s="35" t="s">
        <v>94</v>
      </c>
      <c r="C35" s="36">
        <f>VLOOKUP(表2[[#This Row],[型号]],Sheet1!F:S,14,FALSE)</f>
        <v>46051</v>
      </c>
      <c r="D35" s="35">
        <v>1000</v>
      </c>
      <c r="E35" s="36">
        <v>46091</v>
      </c>
      <c r="F35" s="36">
        <v>46091</v>
      </c>
      <c r="G35" s="36">
        <v>46091</v>
      </c>
      <c r="H35" s="36">
        <f>VLOOKUP(表2[[#This Row],[型号]],Sheet1!F:M,8,FALSE)</f>
        <v>46101</v>
      </c>
      <c r="I35" s="36">
        <v>46006</v>
      </c>
      <c r="J35" s="36">
        <v>46085</v>
      </c>
      <c r="K35" s="36" t="str">
        <f t="shared" si="0"/>
        <v>是</v>
      </c>
      <c r="L35" s="37" t="s">
        <v>331</v>
      </c>
      <c r="M35" s="36"/>
      <c r="N35" s="36">
        <v>46091</v>
      </c>
      <c r="O35" s="37" t="s">
        <v>331</v>
      </c>
      <c r="P35" s="38">
        <v>1000</v>
      </c>
      <c r="Q35" s="37"/>
      <c r="R35" s="39"/>
      <c r="S35" s="37"/>
      <c r="T35" s="37"/>
      <c r="U35" s="37"/>
      <c r="V35" s="40" t="str">
        <f>VLOOKUP(表2[[#This Row],[名称]],Sheet1!E:AK,33,FALSE)</f>
        <v>潘荣誉</v>
      </c>
      <c r="W35" s="3"/>
      <c r="Z35" s="2"/>
      <c r="AC35"/>
    </row>
    <row r="36" spans="1:29" ht="16.5">
      <c r="A36" s="28" t="s">
        <v>80</v>
      </c>
      <c r="B36" s="11" t="s">
        <v>81</v>
      </c>
      <c r="C36" s="10">
        <f>VLOOKUP(表2[[#This Row],[型号]],Sheet1!F:S,14,FALSE)</f>
        <v>46007</v>
      </c>
      <c r="D36" s="11">
        <v>1000</v>
      </c>
      <c r="E36" s="10">
        <v>46091</v>
      </c>
      <c r="F36" s="10">
        <v>46091</v>
      </c>
      <c r="G36" s="10">
        <v>46091</v>
      </c>
      <c r="H36" s="10">
        <f>VLOOKUP(表2[[#This Row],[型号]],Sheet1!F:M,8,FALSE)</f>
        <v>46101</v>
      </c>
      <c r="I36" s="10">
        <v>45995</v>
      </c>
      <c r="J36" s="10">
        <v>46105</v>
      </c>
      <c r="K36" s="10" t="str">
        <f t="shared" si="0"/>
        <v>是</v>
      </c>
      <c r="L36" s="13" t="s">
        <v>331</v>
      </c>
      <c r="M36" s="10"/>
      <c r="N36" s="10">
        <v>46091</v>
      </c>
      <c r="O36" s="13" t="s">
        <v>330</v>
      </c>
      <c r="P36" s="14" t="s">
        <v>349</v>
      </c>
      <c r="Q36" s="13"/>
      <c r="R36" s="15"/>
      <c r="S36" s="13"/>
      <c r="T36" s="13"/>
      <c r="U36" s="13"/>
      <c r="V36" s="41" t="str">
        <f>VLOOKUP(表2[[#This Row],[名称]],Sheet1!E:AK,33,FALSE)</f>
        <v>崔景贺</v>
      </c>
      <c r="W36" s="3"/>
      <c r="Z36" s="2"/>
      <c r="AC36"/>
    </row>
    <row r="37" spans="1:29" ht="24" customHeight="1">
      <c r="A37" s="11" t="s">
        <v>76</v>
      </c>
      <c r="B37" s="29" t="s">
        <v>77</v>
      </c>
      <c r="C37" s="10">
        <f>VLOOKUP(表2[[#This Row],[型号]],Sheet1!F:S,14,FALSE)</f>
        <v>46063</v>
      </c>
      <c r="D37" s="11">
        <v>10</v>
      </c>
      <c r="E37" s="10">
        <v>46090</v>
      </c>
      <c r="F37" s="10">
        <v>46113</v>
      </c>
      <c r="G37" s="10">
        <v>46083</v>
      </c>
      <c r="H37" s="10">
        <f>VLOOKUP(表2[[#This Row],[型号]],Sheet1!F:M,8,FALSE)</f>
        <v>46091</v>
      </c>
      <c r="I37" s="10"/>
      <c r="J37" s="10">
        <v>46142</v>
      </c>
      <c r="K37" s="10" t="str">
        <f t="shared" si="0"/>
        <v>否</v>
      </c>
      <c r="L37" s="13" t="s">
        <v>331</v>
      </c>
      <c r="M37" s="10"/>
      <c r="N37" s="10">
        <v>46083</v>
      </c>
      <c r="O37" s="13"/>
      <c r="P37" s="14"/>
      <c r="Q37" s="13"/>
      <c r="R37" s="15"/>
      <c r="S37" s="13"/>
      <c r="T37" s="13"/>
      <c r="U37" s="13"/>
      <c r="V37" s="41" t="str">
        <f>VLOOKUP(表2[[#This Row],[名称]],Sheet1!E:AK,33,FALSE)</f>
        <v>靳超</v>
      </c>
      <c r="W37" s="3"/>
      <c r="Z37" s="2"/>
      <c r="AC37"/>
    </row>
    <row r="38" spans="1:29" ht="16.5">
      <c r="A38" s="34" t="s">
        <v>43</v>
      </c>
      <c r="B38" s="35" t="s">
        <v>44</v>
      </c>
      <c r="C38" s="36">
        <f>VLOOKUP(表2[[#This Row],[型号]],Sheet1!F:S,14,FALSE)</f>
        <v>46037</v>
      </c>
      <c r="D38" s="35">
        <v>10</v>
      </c>
      <c r="E38" s="36">
        <v>46091</v>
      </c>
      <c r="F38" s="36">
        <v>46091</v>
      </c>
      <c r="G38" s="36">
        <v>46091</v>
      </c>
      <c r="H38" s="36">
        <f>VLOOKUP(表2[[#This Row],[型号]],Sheet1!F:M,8,FALSE)</f>
        <v>46052</v>
      </c>
      <c r="I38" s="36"/>
      <c r="J38" s="36">
        <v>46142</v>
      </c>
      <c r="K38" s="36" t="str">
        <f t="shared" si="0"/>
        <v>否</v>
      </c>
      <c r="L38" s="37" t="s">
        <v>335</v>
      </c>
      <c r="M38" s="36"/>
      <c r="N38" s="36">
        <v>46091</v>
      </c>
      <c r="O38" s="37" t="s">
        <v>331</v>
      </c>
      <c r="P38" s="38">
        <v>10</v>
      </c>
      <c r="Q38" s="37"/>
      <c r="R38" s="39"/>
      <c r="S38" s="37"/>
      <c r="T38" s="37"/>
      <c r="U38" s="37"/>
      <c r="V38" s="40" t="str">
        <f>VLOOKUP(表2[[#This Row],[名称]],Sheet1!E:AK,33,FALSE)</f>
        <v>靳超</v>
      </c>
    </row>
    <row r="47" spans="1:29">
      <c r="O47" t="s">
        <v>350</v>
      </c>
    </row>
  </sheetData>
  <sortState xmlns:xlrd2="http://schemas.microsoft.com/office/spreadsheetml/2017/richdata2" ref="A2:V25">
    <sortCondition ref="C1:C25"/>
  </sortState>
  <phoneticPr fontId="30" type="noConversion"/>
  <conditionalFormatting sqref="B1">
    <cfRule type="duplicateValues" dxfId="13" priority="11"/>
  </conditionalFormatting>
  <conditionalFormatting sqref="B2:B8">
    <cfRule type="duplicateValues" dxfId="12" priority="89"/>
  </conditionalFormatting>
  <conditionalFormatting sqref="B9">
    <cfRule type="duplicateValues" dxfId="11" priority="21"/>
  </conditionalFormatting>
  <conditionalFormatting sqref="B15">
    <cfRule type="duplicateValues" dxfId="10" priority="20"/>
  </conditionalFormatting>
  <conditionalFormatting sqref="B22 B17:B20">
    <cfRule type="duplicateValues" dxfId="9" priority="19"/>
  </conditionalFormatting>
  <conditionalFormatting sqref="B35">
    <cfRule type="duplicateValues" dxfId="8" priority="8"/>
  </conditionalFormatting>
  <conditionalFormatting sqref="B36">
    <cfRule type="duplicateValues" dxfId="7" priority="5"/>
  </conditionalFormatting>
  <conditionalFormatting sqref="B37">
    <cfRule type="duplicateValues" dxfId="6" priority="6"/>
  </conditionalFormatting>
  <conditionalFormatting sqref="B38">
    <cfRule type="duplicateValues" dxfId="5" priority="1"/>
  </conditionalFormatting>
  <conditionalFormatting sqref="L1:L1048576">
    <cfRule type="cellIs" dxfId="4" priority="2" operator="equal">
      <formula>"外协中试"</formula>
    </cfRule>
  </conditionalFormatting>
  <conditionalFormatting sqref="L1:M38 K1:K1048576">
    <cfRule type="cellIs" dxfId="3" priority="3" operator="equal">
      <formula>"否"</formula>
    </cfRule>
  </conditionalFormatting>
  <conditionalFormatting sqref="N38:N1048576 P38:P1048576">
    <cfRule type="cellIs" dxfId="2" priority="4" operator="equal">
      <formula>"否"</formula>
    </cfRule>
  </conditionalFormatting>
  <conditionalFormatting sqref="R1:R38 W35:W37 Z38:Z1048576">
    <cfRule type="containsText" dxfId="1" priority="9" operator="containsText" text="验证">
      <formula>NOT(ISERROR(SEARCH("验证",R1)))</formula>
    </cfRule>
    <cfRule type="containsText" dxfId="0" priority="10" operator="containsText" text="不通过">
      <formula>NOT(ISERROR(SEARCH("不通过",R1)))</formula>
    </cfRule>
  </conditionalFormatting>
  <dataValidations count="2">
    <dataValidation type="list" allowBlank="1" showInputMessage="1" showErrorMessage="1" sqref="L2:L38" xr:uid="{00000000-0002-0000-0100-000000000000}">
      <formula1>"是,否,外协中试"</formula1>
    </dataValidation>
    <dataValidation type="list" allowBlank="1" showInputMessage="1" showErrorMessage="1" sqref="R2:R38" xr:uid="{00000000-0002-0000-0100-000001000000}">
      <formula1>"通过,有待验证,不通过"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中试细化（不考核研发）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hp</cp:lastModifiedBy>
  <dcterms:created xsi:type="dcterms:W3CDTF">2006-09-16T00:00:00Z</dcterms:created>
  <dcterms:modified xsi:type="dcterms:W3CDTF">2026-06-05T05:46:24Z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16CA088EEAC1443F944A79C7FE431514_12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